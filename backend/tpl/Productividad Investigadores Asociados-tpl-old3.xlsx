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1-Y5 (SIGIC)" sheetId="1" r:id="rId5"/>
  </sheets>
  <definedNames/>
  <calcPr/>
</workbook>
</file>

<file path=xl/sharedStrings.xml><?xml version="1.0" encoding="utf-8"?>
<sst xmlns="http://schemas.openxmlformats.org/spreadsheetml/2006/main" count="176" uniqueCount="49">
  <si>
    <t>AÑO</t>
  </si>
  <si>
    <t>TOTAL</t>
  </si>
  <si>
    <t>PROYECTOS</t>
  </si>
  <si>
    <t>PUBLICACIONES</t>
  </si>
  <si>
    <t>PATENTES</t>
  </si>
  <si>
    <t>ESTUDIANTES</t>
  </si>
  <si>
    <t>ESTUD.</t>
  </si>
  <si>
    <t>CANTIDAD</t>
  </si>
  <si>
    <t>FONDOS APORTADOS (M$)</t>
  </si>
  <si>
    <t>#</t>
  </si>
  <si>
    <t>Investigador Asociado</t>
  </si>
  <si>
    <t>Tipo</t>
  </si>
  <si>
    <t>A. Ppal.</t>
  </si>
  <si>
    <t>Imp. Ppal.</t>
  </si>
  <si>
    <t>A. Sec.</t>
  </si>
  <si>
    <t>Imp. Sec.</t>
  </si>
  <si>
    <t>Total Pub.</t>
  </si>
  <si>
    <t>Impacto Prom.</t>
  </si>
  <si>
    <t>Impacto Acumul.</t>
  </si>
  <si>
    <t>Sol.</t>
  </si>
  <si>
    <t>Aprob.</t>
  </si>
  <si>
    <t>Total</t>
  </si>
  <si>
    <t>Magister/Pregrado
Tutor-En Progreso</t>
  </si>
  <si>
    <t>Magister/Pregrado
Tutor-En Terminado</t>
  </si>
  <si>
    <t>Doctorado
Tutor-En Progreso</t>
  </si>
  <si>
    <t>Doctorado
Tutor-En Terminado</t>
  </si>
  <si>
    <t>Magister/Pregrado
CoTutor-En Progreso</t>
  </si>
  <si>
    <t>Magister/Pregrado
CoTutor-En Terminado</t>
  </si>
  <si>
    <t>Doctorado
CoTutor-En Progreso</t>
  </si>
  <si>
    <t>Doctorado
CoTutor-En Terminado</t>
  </si>
  <si>
    <t>PostDoc
Tutor</t>
  </si>
  <si>
    <t>PostDoc
CoTutor</t>
  </si>
  <si>
    <t>Total Tutor</t>
  </si>
  <si>
    <t>Total CoTutor</t>
  </si>
  <si>
    <t>#Pubs Autor Principal</t>
  </si>
  <si>
    <t>IF Acumulado Autor Principal</t>
  </si>
  <si>
    <t>IF Promedio Autor Principal</t>
  </si>
  <si>
    <t>#Pubs CoAutor</t>
  </si>
  <si>
    <t>IF Acumulado CoAutor</t>
  </si>
  <si>
    <t>IF Promedio CoAutor</t>
  </si>
  <si>
    <t>Total. Tutor</t>
  </si>
  <si>
    <t>Nac.</t>
  </si>
  <si>
    <t>Intl.</t>
  </si>
  <si>
    <t>Nacional</t>
  </si>
  <si>
    <t>Intl</t>
  </si>
  <si>
    <t>TOTAL ($)</t>
  </si>
  <si>
    <t>Amelina Albornoz</t>
  </si>
  <si>
    <t>INFORME DE PRODUCTIVIDAD INVESTIGADORES ASOCIADOS CENTRO BASAL CIENCIA &amp; VIDA</t>
  </si>
  <si>
    <t xml:space="preserve"> Al 31/07/2025 (Cierre Técnico Año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</si>
</sst>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\ #,##0_);_(\ \(#,##0\);_(\ &quot;-&quot;??_);_(@_)"/>
    <numFmt numFmtId="165" formatCode="_(\ #,##0.0_);_(\ \(#,##0.0\);_(\ &quot;-&quot;??.0_);_(@_)"/>
    <numFmt numFmtId="166" formatCode="#,##0.0_ ;\-#,##0.0\ "/>
    <numFmt numFmtId="167" formatCode="#,##0_ ;\-#,##0\ "/>
    <numFmt numFmtId="168" formatCode="_-&quot;$&quot;* #,##0_-;\-&quot;$&quot;* #,##0_-;_-&quot;$&quot;* &quot;-&quot;_-;_-@"/>
  </numFmts>
  <fonts count="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/>
    <font>
      <b/>
      <sz val="12.0"/>
      <color rgb="FF000000"/>
      <name val="Arial"/>
    </font>
    <font>
      <sz val="11.0"/>
      <color theme="1"/>
      <name val="Arial"/>
    </font>
    <font>
      <b/>
      <sz val="24.0"/>
      <color theme="1"/>
      <name val="Arial"/>
    </font>
    <font>
      <b/>
      <sz val="2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2" fillId="3" fontId="2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5" fillId="3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3" fontId="2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wrapText="1"/>
    </xf>
    <xf borderId="18" fillId="0" fontId="5" numFmtId="0" xfId="0" applyAlignment="1" applyBorder="1" applyFont="1">
      <alignment shrinkToFit="0" wrapText="1"/>
    </xf>
    <xf borderId="19" fillId="0" fontId="2" numFmtId="0" xfId="0" applyAlignment="1" applyBorder="1" applyFont="1">
      <alignment shrinkToFit="0" wrapText="1"/>
    </xf>
    <xf borderId="20" fillId="0" fontId="1" numFmtId="164" xfId="0" applyAlignment="1" applyBorder="1" applyFont="1" applyNumberFormat="1">
      <alignment horizontal="center" shrinkToFit="0" vertical="center" wrapText="1"/>
    </xf>
    <xf borderId="21" fillId="0" fontId="1" numFmtId="165" xfId="0" applyAlignment="1" applyBorder="1" applyFont="1" applyNumberFormat="1">
      <alignment horizontal="center" shrinkToFit="0" vertical="center" wrapText="1"/>
    </xf>
    <xf borderId="22" fillId="0" fontId="1" numFmtId="164" xfId="0" applyAlignment="1" applyBorder="1" applyFont="1" applyNumberFormat="1">
      <alignment horizontal="center" shrinkToFit="0" vertical="center" wrapText="1"/>
    </xf>
    <xf borderId="22" fillId="0" fontId="1" numFmtId="165" xfId="0" applyAlignment="1" applyBorder="1" applyFont="1" applyNumberFormat="1">
      <alignment horizontal="center" shrinkToFit="0" vertical="center" wrapText="1"/>
    </xf>
    <xf borderId="22" fillId="0" fontId="2" numFmtId="164" xfId="0" applyAlignment="1" applyBorder="1" applyFont="1" applyNumberFormat="1">
      <alignment horizontal="center" shrinkToFit="0" vertical="center" wrapText="1"/>
    </xf>
    <xf borderId="22" fillId="0" fontId="2" numFmtId="166" xfId="0" applyAlignment="1" applyBorder="1" applyFont="1" applyNumberFormat="1">
      <alignment horizontal="center" shrinkToFit="0" vertical="center" wrapText="1"/>
    </xf>
    <xf borderId="23" fillId="0" fontId="2" numFmtId="166" xfId="0" applyAlignment="1" applyBorder="1" applyFont="1" applyNumberFormat="1">
      <alignment horizontal="center" shrinkToFit="0" vertical="center" wrapText="1"/>
    </xf>
    <xf borderId="23" fillId="0" fontId="2" numFmtId="164" xfId="0" applyAlignment="1" applyBorder="1" applyFont="1" applyNumberFormat="1">
      <alignment horizontal="center" shrinkToFit="0" vertical="center" wrapText="1"/>
    </xf>
    <xf borderId="24" fillId="0" fontId="2" numFmtId="164" xfId="0" applyAlignment="1" applyBorder="1" applyFont="1" applyNumberFormat="1">
      <alignment horizontal="center" shrinkToFit="0" vertical="center" wrapText="1"/>
    </xf>
    <xf borderId="25" fillId="0" fontId="2" numFmtId="164" xfId="0" applyAlignment="1" applyBorder="1" applyFont="1" applyNumberFormat="1">
      <alignment horizontal="center" shrinkToFit="0" vertical="center" wrapText="1"/>
    </xf>
    <xf borderId="25" fillId="0" fontId="2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horizontal="center" shrinkToFit="0" wrapText="1"/>
    </xf>
    <xf borderId="21" fillId="0" fontId="1" numFmtId="166" xfId="0" applyAlignment="1" applyBorder="1" applyFont="1" applyNumberFormat="1">
      <alignment horizontal="center" shrinkToFit="0" vertical="center" wrapText="1"/>
    </xf>
    <xf borderId="21" fillId="0" fontId="1" numFmtId="164" xfId="0" applyAlignment="1" applyBorder="1" applyFont="1" applyNumberFormat="1">
      <alignment horizontal="center" shrinkToFit="0" vertical="center" wrapText="1"/>
    </xf>
    <xf borderId="20" fillId="0" fontId="1" numFmtId="167" xfId="0" applyAlignment="1" applyBorder="1" applyFont="1" applyNumberFormat="1">
      <alignment horizontal="center" readingOrder="0" shrinkToFit="0" vertical="center" wrapText="1"/>
    </xf>
    <xf borderId="22" fillId="0" fontId="1" numFmtId="167" xfId="0" applyAlignment="1" applyBorder="1" applyFont="1" applyNumberFormat="1">
      <alignment horizontal="center" shrinkToFit="0" vertical="center" wrapText="1"/>
    </xf>
    <xf borderId="23" fillId="0" fontId="1" numFmtId="167" xfId="0" applyAlignment="1" applyBorder="1" applyFont="1" applyNumberFormat="1">
      <alignment horizontal="center" shrinkToFit="0" vertical="center" wrapText="1"/>
    </xf>
    <xf borderId="20" fillId="0" fontId="1" numFmtId="168" xfId="0" applyAlignment="1" applyBorder="1" applyFont="1" applyNumberFormat="1">
      <alignment horizontal="right" readingOrder="0" shrinkToFit="0" wrapText="1"/>
    </xf>
    <xf borderId="22" fillId="0" fontId="1" numFmtId="168" xfId="0" applyAlignment="1" applyBorder="1" applyFont="1" applyNumberFormat="1">
      <alignment horizontal="right" shrinkToFit="0" wrapText="1"/>
    </xf>
    <xf borderId="23" fillId="0" fontId="2" numFmtId="168" xfId="0" applyAlignment="1" applyBorder="1" applyFont="1" applyNumberFormat="1">
      <alignment horizontal="right" shrinkToFit="0" wrapText="1"/>
    </xf>
    <xf borderId="26" fillId="0" fontId="2" numFmtId="0" xfId="0" applyAlignment="1" applyBorder="1" applyFont="1">
      <alignment horizontal="center" shrinkToFit="0" wrapText="1"/>
    </xf>
    <xf borderId="11" fillId="0" fontId="2" numFmtId="167" xfId="0" applyAlignment="1" applyBorder="1" applyFont="1" applyNumberFormat="1">
      <alignment horizontal="center" shrinkToFit="0" vertical="center" wrapText="1"/>
    </xf>
    <xf borderId="12" fillId="0" fontId="2" numFmtId="166" xfId="0" applyAlignment="1" applyBorder="1" applyFont="1" applyNumberFormat="1">
      <alignment horizontal="center" shrinkToFit="0" vertical="center" wrapText="1"/>
    </xf>
    <xf borderId="12" fillId="0" fontId="2" numFmtId="167" xfId="0" applyAlignment="1" applyBorder="1" applyFont="1" applyNumberFormat="1">
      <alignment horizontal="center" shrinkToFit="0" vertical="center" wrapText="1"/>
    </xf>
    <xf borderId="13" fillId="0" fontId="2" numFmtId="166" xfId="0" applyAlignment="1" applyBorder="1" applyFont="1" applyNumberFormat="1">
      <alignment horizontal="center" shrinkToFit="0" vertical="center" wrapText="1"/>
    </xf>
    <xf borderId="14" fillId="0" fontId="2" numFmtId="166" xfId="0" applyAlignment="1" applyBorder="1" applyFont="1" applyNumberFormat="1">
      <alignment horizontal="center" shrinkToFit="0" vertical="center" wrapText="1"/>
    </xf>
    <xf borderId="13" fillId="0" fontId="2" numFmtId="167" xfId="0" applyAlignment="1" applyBorder="1" applyFont="1" applyNumberFormat="1">
      <alignment horizontal="center" shrinkToFit="0" vertical="center" wrapText="1"/>
    </xf>
    <xf borderId="14" fillId="0" fontId="2" numFmtId="167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center" shrinkToFit="0" wrapText="1"/>
    </xf>
    <xf borderId="11" fillId="0" fontId="2" numFmtId="168" xfId="0" applyAlignment="1" applyBorder="1" applyFont="1" applyNumberFormat="1">
      <alignment horizontal="center" shrinkToFit="0" vertical="center" wrapText="1"/>
    </xf>
    <xf borderId="13" fillId="0" fontId="2" numFmtId="168" xfId="0" applyAlignment="1" applyBorder="1" applyFont="1" applyNumberFormat="1">
      <alignment horizontal="center" shrinkToFit="0" vertical="center" wrapText="1"/>
    </xf>
    <xf borderId="14" fillId="0" fontId="2" numFmtId="168" xfId="0" applyAlignment="1" applyBorder="1" applyFont="1" applyNumberFormat="1">
      <alignment shrinkToFit="0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88"/>
    <col customWidth="1" min="2" max="2" width="4.38"/>
    <col customWidth="1" min="3" max="3" width="36.63"/>
    <col customWidth="1" min="4" max="4" width="10.0"/>
    <col customWidth="1" min="5" max="9" width="8.0"/>
    <col customWidth="1" min="10" max="10" width="13.5"/>
    <col customWidth="1" min="11" max="11" width="12.88"/>
    <col customWidth="1" min="12" max="14" width="8.0"/>
    <col customWidth="1" min="15" max="15" width="19.13"/>
    <col customWidth="1" min="16" max="16" width="21.63"/>
    <col customWidth="1" min="17" max="17" width="20.5"/>
    <col customWidth="1" min="18" max="18" width="20.63"/>
    <col customWidth="1" min="19" max="19" width="26.25"/>
    <col customWidth="1" min="20" max="20" width="24.88"/>
    <col customWidth="1" min="21" max="21" width="26.25"/>
    <col customWidth="1" min="22" max="22" width="22.38"/>
    <col customWidth="1" min="23" max="24" width="18.0"/>
    <col customWidth="1" min="25" max="25" width="15.25"/>
    <col customWidth="1" min="26" max="26" width="14.38"/>
    <col customWidth="1" min="27" max="27" width="4.0"/>
    <col customWidth="1" min="28" max="32" width="8.0"/>
    <col customWidth="1" min="33" max="33" width="11.5"/>
    <col customWidth="1" min="34" max="34" width="11.0"/>
    <col customWidth="1" min="35" max="37" width="8.0"/>
    <col customWidth="1" min="38" max="38" width="21.5"/>
    <col customWidth="1" min="39" max="39" width="24.13"/>
    <col customWidth="1" min="40" max="40" width="19.38"/>
    <col customWidth="1" min="41" max="41" width="22.38"/>
    <col customWidth="1" min="42" max="42" width="26.38"/>
    <col customWidth="1" min="43" max="43" width="24.13"/>
    <col customWidth="1" min="44" max="44" width="28.13"/>
    <col customWidth="1" min="45" max="45" width="24.0"/>
    <col customWidth="1" min="46" max="46" width="15.25"/>
    <col customWidth="1" min="47" max="47" width="15.38"/>
    <col customWidth="1" min="48" max="48" width="8.25"/>
    <col customWidth="1" min="49" max="49" width="10.0"/>
    <col customWidth="1" min="50" max="50" width="4.0"/>
    <col customWidth="1" min="51" max="55" width="8.0"/>
    <col customWidth="1" min="56" max="56" width="11.0"/>
    <col customWidth="1" min="57" max="57" width="12.13"/>
    <col customWidth="1" min="58" max="60" width="8.0"/>
    <col customWidth="1" min="61" max="61" width="18.5"/>
    <col customWidth="1" min="62" max="62" width="20.25"/>
    <col customWidth="1" min="63" max="63" width="20.63"/>
    <col customWidth="1" min="64" max="64" width="22.63"/>
    <col customWidth="1" min="65" max="65" width="23.0"/>
    <col customWidth="1" min="66" max="66" width="24.38"/>
    <col customWidth="1" min="67" max="67" width="24.25"/>
    <col customWidth="1" min="68" max="68" width="27.13"/>
    <col customWidth="1" min="69" max="69" width="14.88"/>
    <col customWidth="1" min="70" max="70" width="15.63"/>
    <col customWidth="1" min="71" max="71" width="8.0"/>
    <col customWidth="1" min="72" max="72" width="8.88"/>
    <col customWidth="1" min="73" max="73" width="4.0"/>
    <col customWidth="1" min="74" max="74" width="8.0"/>
    <col customWidth="1" min="75" max="75" width="9.5"/>
    <col customWidth="1" min="76" max="76" width="8.0"/>
    <col customWidth="1" min="77" max="77" width="10.38"/>
    <col customWidth="1" min="78" max="78" width="10.75"/>
    <col customWidth="1" min="79" max="79" width="11.38"/>
    <col customWidth="1" min="80" max="80" width="10.75"/>
    <col customWidth="1" min="81" max="83" width="8.0"/>
    <col customWidth="1" min="84" max="84" width="19.88"/>
    <col customWidth="1" min="85" max="85" width="21.38"/>
    <col customWidth="1" min="86" max="86" width="20.25"/>
    <col customWidth="1" min="87" max="87" width="21.5"/>
    <col customWidth="1" min="88" max="88" width="23.25"/>
    <col customWidth="1" min="89" max="89" width="26.88"/>
    <col customWidth="1" min="90" max="90" width="21.25"/>
    <col customWidth="1" min="91" max="91" width="23.0"/>
    <col customWidth="1" min="92" max="92" width="16.0"/>
    <col customWidth="1" min="93" max="93" width="12.38"/>
    <col customWidth="1" min="94" max="94" width="7.13"/>
    <col customWidth="1" min="95" max="95" width="10.5"/>
    <col customWidth="1" min="96" max="96" width="4.0"/>
    <col customWidth="1" min="97" max="106" width="8.0"/>
    <col customWidth="1" min="107" max="107" width="20.5"/>
    <col customWidth="1" min="108" max="108" width="22.75"/>
    <col customWidth="1" min="109" max="109" width="20.63"/>
    <col customWidth="1" min="110" max="110" width="21.25"/>
    <col customWidth="1" min="111" max="111" width="22.63"/>
    <col customWidth="1" min="112" max="112" width="25.63"/>
    <col customWidth="1" min="113" max="113" width="22.13"/>
    <col customWidth="1" min="114" max="114" width="25.13"/>
    <col customWidth="1" min="115" max="116" width="9.38"/>
    <col customWidth="1" min="117" max="117" width="10.0"/>
    <col customWidth="1" min="118" max="118" width="11.0"/>
    <col customWidth="1" min="119" max="119" width="8.0"/>
    <col customWidth="1" min="120" max="120" width="13.38"/>
    <col customWidth="1" min="121" max="121" width="16.25"/>
    <col customWidth="1" min="122" max="122" width="17.25"/>
    <col customWidth="1" min="123" max="123" width="11.38"/>
    <col customWidth="1" min="124" max="124" width="17.5"/>
    <col customWidth="1" min="125" max="125" width="13.88"/>
    <col customWidth="1" min="126" max="126" width="8.0"/>
    <col customWidth="1" min="127" max="127" width="10.25"/>
    <col customWidth="1" min="128" max="128" width="11.5"/>
    <col customWidth="1" min="129" max="131" width="8.0"/>
    <col customWidth="1" min="132" max="132" width="24.13"/>
    <col customWidth="1" min="133" max="133" width="21.0"/>
    <col customWidth="1" min="134" max="134" width="22.88"/>
    <col customWidth="1" min="135" max="135" width="25.88"/>
    <col customWidth="1" min="136" max="136" width="24.88"/>
    <col customWidth="1" min="137" max="137" width="24.0"/>
    <col customWidth="1" min="138" max="138" width="23.13"/>
    <col customWidth="1" min="139" max="139" width="28.25"/>
    <col customWidth="1" min="140" max="142" width="9.75"/>
    <col customWidth="1" min="143" max="143" width="10.88"/>
    <col customWidth="1" min="144" max="144" width="4.0"/>
    <col customWidth="1" min="145" max="145" width="6.0"/>
    <col customWidth="1" min="146" max="146" width="6.38"/>
    <col customWidth="1" min="147" max="147" width="6.5"/>
    <col customWidth="1" min="148" max="148" width="15.63"/>
    <col customWidth="1" min="149" max="149" width="13.5"/>
    <col customWidth="1" min="150" max="150" width="14.88"/>
  </cols>
  <sheetData>
    <row r="1" ht="15.75" customHeight="1">
      <c r="A1" s="1"/>
      <c r="B1" s="1"/>
      <c r="C1" s="2" t="s">
        <v>0</v>
      </c>
      <c r="D1" s="3"/>
      <c r="E1" s="4">
        <v>1.0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7"/>
      <c r="AB1" s="8">
        <v>2.0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"/>
      <c r="AX1" s="7"/>
      <c r="AY1" s="8">
        <v>3.0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  <c r="BU1" s="7"/>
      <c r="BV1" s="8">
        <v>4.0</v>
      </c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6"/>
      <c r="CR1" s="7"/>
      <c r="CS1" s="9">
        <v>5.0</v>
      </c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6"/>
      <c r="DO1" s="10"/>
      <c r="DP1" s="8" t="s">
        <v>1</v>
      </c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6"/>
      <c r="EN1" s="11"/>
      <c r="EO1" s="8" t="s">
        <v>2</v>
      </c>
      <c r="EP1" s="5"/>
      <c r="EQ1" s="5"/>
      <c r="ER1" s="5"/>
      <c r="ES1" s="5"/>
      <c r="ET1" s="6"/>
    </row>
    <row r="2" ht="15.75" customHeight="1">
      <c r="A2" s="1"/>
      <c r="B2" s="1"/>
      <c r="C2" s="12"/>
      <c r="D2" s="12"/>
      <c r="E2" s="13" t="s">
        <v>3</v>
      </c>
      <c r="F2" s="14"/>
      <c r="G2" s="14"/>
      <c r="H2" s="14"/>
      <c r="I2" s="14"/>
      <c r="J2" s="14"/>
      <c r="K2" s="15"/>
      <c r="L2" s="13" t="s">
        <v>4</v>
      </c>
      <c r="M2" s="14"/>
      <c r="N2" s="15"/>
      <c r="O2" s="13" t="s">
        <v>5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  <c r="AA2" s="11"/>
      <c r="AB2" s="13" t="s">
        <v>3</v>
      </c>
      <c r="AC2" s="14"/>
      <c r="AD2" s="14"/>
      <c r="AE2" s="14"/>
      <c r="AF2" s="14"/>
      <c r="AG2" s="14"/>
      <c r="AH2" s="15"/>
      <c r="AI2" s="13" t="s">
        <v>4</v>
      </c>
      <c r="AJ2" s="14"/>
      <c r="AK2" s="15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3" t="s">
        <v>5</v>
      </c>
      <c r="AW2" s="15"/>
      <c r="AX2" s="11"/>
      <c r="AY2" s="13" t="s">
        <v>3</v>
      </c>
      <c r="AZ2" s="14"/>
      <c r="BA2" s="14"/>
      <c r="BB2" s="14"/>
      <c r="BC2" s="14"/>
      <c r="BD2" s="14"/>
      <c r="BE2" s="15"/>
      <c r="BF2" s="13" t="s">
        <v>4</v>
      </c>
      <c r="BG2" s="14"/>
      <c r="BH2" s="15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3" t="s">
        <v>5</v>
      </c>
      <c r="BT2" s="15"/>
      <c r="BU2" s="11"/>
      <c r="BV2" s="13" t="s">
        <v>3</v>
      </c>
      <c r="BW2" s="14"/>
      <c r="BX2" s="14"/>
      <c r="BY2" s="14"/>
      <c r="BZ2" s="14"/>
      <c r="CA2" s="14"/>
      <c r="CB2" s="15"/>
      <c r="CC2" s="13" t="s">
        <v>4</v>
      </c>
      <c r="CD2" s="14"/>
      <c r="CE2" s="15"/>
      <c r="CF2" s="13" t="s">
        <v>5</v>
      </c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5"/>
      <c r="CR2" s="11"/>
      <c r="CS2" s="13" t="s">
        <v>3</v>
      </c>
      <c r="CT2" s="14"/>
      <c r="CU2" s="14"/>
      <c r="CV2" s="14"/>
      <c r="CW2" s="14"/>
      <c r="CX2" s="14"/>
      <c r="CY2" s="15"/>
      <c r="CZ2" s="13" t="s">
        <v>4</v>
      </c>
      <c r="DA2" s="14"/>
      <c r="DB2" s="15"/>
      <c r="DC2" s="13" t="s">
        <v>5</v>
      </c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5"/>
      <c r="DO2" s="17"/>
      <c r="DP2" s="13" t="s">
        <v>3</v>
      </c>
      <c r="DQ2" s="14"/>
      <c r="DR2" s="14"/>
      <c r="DS2" s="14"/>
      <c r="DT2" s="14"/>
      <c r="DU2" s="14"/>
      <c r="DV2" s="14"/>
      <c r="DW2" s="14"/>
      <c r="DX2" s="15"/>
      <c r="DY2" s="13" t="s">
        <v>4</v>
      </c>
      <c r="DZ2" s="14"/>
      <c r="EA2" s="15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3" t="s">
        <v>6</v>
      </c>
      <c r="EM2" s="15"/>
      <c r="EN2" s="11"/>
      <c r="EO2" s="13" t="s">
        <v>7</v>
      </c>
      <c r="EP2" s="14"/>
      <c r="EQ2" s="15"/>
      <c r="ER2" s="13" t="s">
        <v>8</v>
      </c>
      <c r="ES2" s="14"/>
      <c r="ET2" s="15"/>
    </row>
    <row r="3" ht="15.75" customHeight="1">
      <c r="A3" s="11"/>
      <c r="B3" s="18" t="s">
        <v>9</v>
      </c>
      <c r="C3" s="19" t="s">
        <v>10</v>
      </c>
      <c r="D3" s="20" t="s">
        <v>11</v>
      </c>
      <c r="E3" s="21" t="s">
        <v>12</v>
      </c>
      <c r="F3" s="22" t="s">
        <v>13</v>
      </c>
      <c r="G3" s="23" t="s">
        <v>14</v>
      </c>
      <c r="H3" s="23" t="s">
        <v>15</v>
      </c>
      <c r="I3" s="23" t="s">
        <v>16</v>
      </c>
      <c r="J3" s="23" t="s">
        <v>17</v>
      </c>
      <c r="K3" s="24" t="s">
        <v>18</v>
      </c>
      <c r="L3" s="21" t="s">
        <v>19</v>
      </c>
      <c r="M3" s="23" t="s">
        <v>20</v>
      </c>
      <c r="N3" s="24" t="s">
        <v>21</v>
      </c>
      <c r="O3" s="25" t="s">
        <v>22</v>
      </c>
      <c r="P3" s="25" t="s">
        <v>23</v>
      </c>
      <c r="Q3" s="25" t="s">
        <v>24</v>
      </c>
      <c r="R3" s="25" t="s">
        <v>25</v>
      </c>
      <c r="S3" s="25" t="s">
        <v>26</v>
      </c>
      <c r="T3" s="25" t="s">
        <v>27</v>
      </c>
      <c r="U3" s="25" t="s">
        <v>28</v>
      </c>
      <c r="V3" s="25" t="s">
        <v>29</v>
      </c>
      <c r="W3" s="26" t="s">
        <v>30</v>
      </c>
      <c r="X3" s="26" t="s">
        <v>31</v>
      </c>
      <c r="Y3" s="26" t="s">
        <v>32</v>
      </c>
      <c r="Z3" s="26" t="s">
        <v>33</v>
      </c>
      <c r="AA3" s="27" t="s">
        <v>9</v>
      </c>
      <c r="AB3" s="21" t="s">
        <v>12</v>
      </c>
      <c r="AC3" s="22" t="s">
        <v>13</v>
      </c>
      <c r="AD3" s="23" t="s">
        <v>14</v>
      </c>
      <c r="AE3" s="23" t="s">
        <v>15</v>
      </c>
      <c r="AF3" s="23" t="s">
        <v>16</v>
      </c>
      <c r="AG3" s="23" t="s">
        <v>17</v>
      </c>
      <c r="AH3" s="24" t="s">
        <v>18</v>
      </c>
      <c r="AI3" s="21" t="s">
        <v>19</v>
      </c>
      <c r="AJ3" s="23" t="s">
        <v>20</v>
      </c>
      <c r="AK3" s="24" t="s">
        <v>21</v>
      </c>
      <c r="AL3" s="25" t="s">
        <v>22</v>
      </c>
      <c r="AM3" s="25" t="s">
        <v>23</v>
      </c>
      <c r="AN3" s="25" t="s">
        <v>24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6" t="s">
        <v>30</v>
      </c>
      <c r="AU3" s="26" t="s">
        <v>31</v>
      </c>
      <c r="AV3" s="28" t="s">
        <v>32</v>
      </c>
      <c r="AW3" s="24" t="s">
        <v>33</v>
      </c>
      <c r="AX3" s="27" t="s">
        <v>9</v>
      </c>
      <c r="AY3" s="21" t="s">
        <v>12</v>
      </c>
      <c r="AZ3" s="22" t="s">
        <v>13</v>
      </c>
      <c r="BA3" s="23" t="s">
        <v>14</v>
      </c>
      <c r="BB3" s="23" t="s">
        <v>15</v>
      </c>
      <c r="BC3" s="23" t="s">
        <v>16</v>
      </c>
      <c r="BD3" s="23" t="s">
        <v>17</v>
      </c>
      <c r="BE3" s="24" t="s">
        <v>18</v>
      </c>
      <c r="BF3" s="21" t="s">
        <v>19</v>
      </c>
      <c r="BG3" s="23" t="s">
        <v>20</v>
      </c>
      <c r="BH3" s="24" t="s">
        <v>21</v>
      </c>
      <c r="BI3" s="25" t="s">
        <v>22</v>
      </c>
      <c r="BJ3" s="25" t="s">
        <v>23</v>
      </c>
      <c r="BK3" s="25" t="s">
        <v>24</v>
      </c>
      <c r="BL3" s="25" t="s">
        <v>25</v>
      </c>
      <c r="BM3" s="25" t="s">
        <v>26</v>
      </c>
      <c r="BN3" s="25" t="s">
        <v>27</v>
      </c>
      <c r="BO3" s="25" t="s">
        <v>28</v>
      </c>
      <c r="BP3" s="25" t="s">
        <v>29</v>
      </c>
      <c r="BQ3" s="26" t="s">
        <v>30</v>
      </c>
      <c r="BR3" s="26" t="s">
        <v>31</v>
      </c>
      <c r="BS3" s="28" t="s">
        <v>32</v>
      </c>
      <c r="BT3" s="24" t="s">
        <v>33</v>
      </c>
      <c r="BU3" s="27" t="s">
        <v>9</v>
      </c>
      <c r="BV3" s="21" t="s">
        <v>12</v>
      </c>
      <c r="BW3" s="22" t="s">
        <v>13</v>
      </c>
      <c r="BX3" s="23" t="s">
        <v>14</v>
      </c>
      <c r="BY3" s="23" t="s">
        <v>15</v>
      </c>
      <c r="BZ3" s="23" t="s">
        <v>16</v>
      </c>
      <c r="CA3" s="23" t="s">
        <v>17</v>
      </c>
      <c r="CB3" s="24" t="s">
        <v>18</v>
      </c>
      <c r="CC3" s="21" t="s">
        <v>19</v>
      </c>
      <c r="CD3" s="23" t="s">
        <v>20</v>
      </c>
      <c r="CE3" s="24" t="s">
        <v>21</v>
      </c>
      <c r="CF3" s="25" t="s">
        <v>22</v>
      </c>
      <c r="CG3" s="25" t="s">
        <v>23</v>
      </c>
      <c r="CH3" s="25" t="s">
        <v>24</v>
      </c>
      <c r="CI3" s="25" t="s">
        <v>25</v>
      </c>
      <c r="CJ3" s="25" t="s">
        <v>26</v>
      </c>
      <c r="CK3" s="25" t="s">
        <v>27</v>
      </c>
      <c r="CL3" s="25" t="s">
        <v>28</v>
      </c>
      <c r="CM3" s="25" t="s">
        <v>29</v>
      </c>
      <c r="CN3" s="26" t="s">
        <v>30</v>
      </c>
      <c r="CO3" s="26" t="s">
        <v>31</v>
      </c>
      <c r="CP3" s="28" t="s">
        <v>32</v>
      </c>
      <c r="CQ3" s="24" t="s">
        <v>33</v>
      </c>
      <c r="CR3" s="29" t="s">
        <v>9</v>
      </c>
      <c r="CS3" s="21" t="s">
        <v>12</v>
      </c>
      <c r="CT3" s="22" t="s">
        <v>13</v>
      </c>
      <c r="CU3" s="23" t="s">
        <v>14</v>
      </c>
      <c r="CV3" s="23" t="s">
        <v>15</v>
      </c>
      <c r="CW3" s="23" t="s">
        <v>16</v>
      </c>
      <c r="CX3" s="23" t="s">
        <v>17</v>
      </c>
      <c r="CY3" s="24" t="s">
        <v>18</v>
      </c>
      <c r="CZ3" s="21" t="s">
        <v>19</v>
      </c>
      <c r="DA3" s="23" t="s">
        <v>20</v>
      </c>
      <c r="DB3" s="24" t="s">
        <v>21</v>
      </c>
      <c r="DC3" s="25" t="s">
        <v>22</v>
      </c>
      <c r="DD3" s="25" t="s">
        <v>23</v>
      </c>
      <c r="DE3" s="25" t="s">
        <v>24</v>
      </c>
      <c r="DF3" s="25" t="s">
        <v>25</v>
      </c>
      <c r="DG3" s="25" t="s">
        <v>26</v>
      </c>
      <c r="DH3" s="25" t="s">
        <v>27</v>
      </c>
      <c r="DI3" s="25" t="s">
        <v>28</v>
      </c>
      <c r="DJ3" s="25" t="s">
        <v>29</v>
      </c>
      <c r="DK3" s="26" t="s">
        <v>30</v>
      </c>
      <c r="DL3" s="26" t="s">
        <v>31</v>
      </c>
      <c r="DM3" s="28" t="s">
        <v>32</v>
      </c>
      <c r="DN3" s="24" t="s">
        <v>33</v>
      </c>
      <c r="DO3" s="29" t="s">
        <v>9</v>
      </c>
      <c r="DP3" s="30" t="s">
        <v>34</v>
      </c>
      <c r="DQ3" s="31" t="s">
        <v>35</v>
      </c>
      <c r="DR3" s="31" t="s">
        <v>36</v>
      </c>
      <c r="DS3" s="32" t="s">
        <v>37</v>
      </c>
      <c r="DT3" s="32" t="s">
        <v>38</v>
      </c>
      <c r="DU3" s="32" t="s">
        <v>39</v>
      </c>
      <c r="DV3" s="23" t="s">
        <v>16</v>
      </c>
      <c r="DW3" s="23" t="s">
        <v>17</v>
      </c>
      <c r="DX3" s="24" t="s">
        <v>18</v>
      </c>
      <c r="DY3" s="21" t="s">
        <v>19</v>
      </c>
      <c r="DZ3" s="23" t="s">
        <v>20</v>
      </c>
      <c r="EA3" s="24" t="s">
        <v>21</v>
      </c>
      <c r="EB3" s="25" t="s">
        <v>22</v>
      </c>
      <c r="EC3" s="25" t="s">
        <v>23</v>
      </c>
      <c r="ED3" s="25" t="s">
        <v>24</v>
      </c>
      <c r="EE3" s="25" t="s">
        <v>25</v>
      </c>
      <c r="EF3" s="25" t="s">
        <v>26</v>
      </c>
      <c r="EG3" s="25" t="s">
        <v>27</v>
      </c>
      <c r="EH3" s="25" t="s">
        <v>28</v>
      </c>
      <c r="EI3" s="25" t="s">
        <v>29</v>
      </c>
      <c r="EJ3" s="26" t="s">
        <v>30</v>
      </c>
      <c r="EK3" s="26" t="s">
        <v>31</v>
      </c>
      <c r="EL3" s="33" t="s">
        <v>40</v>
      </c>
      <c r="EM3" s="27" t="s">
        <v>33</v>
      </c>
      <c r="EN3" s="27" t="s">
        <v>9</v>
      </c>
      <c r="EO3" s="21" t="s">
        <v>41</v>
      </c>
      <c r="EP3" s="23" t="s">
        <v>42</v>
      </c>
      <c r="EQ3" s="24" t="s">
        <v>21</v>
      </c>
      <c r="ER3" s="21" t="s">
        <v>43</v>
      </c>
      <c r="ES3" s="23" t="s">
        <v>44</v>
      </c>
      <c r="ET3" s="24" t="s">
        <v>45</v>
      </c>
    </row>
    <row r="4" ht="15.75" customHeight="1">
      <c r="A4" s="7"/>
      <c r="B4" s="34">
        <v>1.0</v>
      </c>
      <c r="C4" s="35" t="s">
        <v>46</v>
      </c>
      <c r="D4" s="36"/>
      <c r="E4" s="37">
        <v>0.0</v>
      </c>
      <c r="F4" s="38">
        <v>0.0</v>
      </c>
      <c r="G4" s="39">
        <v>0.0</v>
      </c>
      <c r="H4" s="40">
        <v>0.0</v>
      </c>
      <c r="I4" s="41">
        <f>E4+G4</f>
        <v>0</v>
      </c>
      <c r="J4" s="42" t="str">
        <f>iferror(K4/I4,"")</f>
        <v/>
      </c>
      <c r="K4" s="43">
        <f>F4+H4</f>
        <v>0</v>
      </c>
      <c r="L4" s="37"/>
      <c r="M4" s="39"/>
      <c r="N4" s="44"/>
      <c r="O4" s="45">
        <v>0.0</v>
      </c>
      <c r="P4" s="45">
        <v>0.0</v>
      </c>
      <c r="Q4" s="45">
        <v>0.0</v>
      </c>
      <c r="R4" s="45">
        <v>0.0</v>
      </c>
      <c r="S4" s="45">
        <v>0.0</v>
      </c>
      <c r="T4" s="45">
        <v>0.0</v>
      </c>
      <c r="U4" s="45">
        <v>0.0</v>
      </c>
      <c r="V4" s="45">
        <v>0.0</v>
      </c>
      <c r="W4" s="45">
        <v>0.0</v>
      </c>
      <c r="X4" s="45">
        <v>0.0</v>
      </c>
      <c r="Y4" s="45">
        <f>O4+P4+Q4+R4+W4</f>
        <v>0</v>
      </c>
      <c r="Z4" s="46">
        <f>S4+T4+V4+X4+U4</f>
        <v>0</v>
      </c>
      <c r="AA4" s="47">
        <f>$B4</f>
        <v>1</v>
      </c>
      <c r="AB4" s="37">
        <v>0.0</v>
      </c>
      <c r="AC4" s="38">
        <v>0.0</v>
      </c>
      <c r="AD4" s="39">
        <v>0.0</v>
      </c>
      <c r="AE4" s="40">
        <v>0.0</v>
      </c>
      <c r="AF4" s="41">
        <f>AB4+AD4</f>
        <v>0</v>
      </c>
      <c r="AG4" s="42" t="str">
        <f>iferror(AH4/AF4,"")</f>
        <v/>
      </c>
      <c r="AH4" s="43">
        <f>AC4+AE4</f>
        <v>0</v>
      </c>
      <c r="AI4" s="37"/>
      <c r="AJ4" s="39"/>
      <c r="AK4" s="44"/>
      <c r="AL4" s="45">
        <v>0.0</v>
      </c>
      <c r="AM4" s="45">
        <v>0.0</v>
      </c>
      <c r="AN4" s="45">
        <v>0.0</v>
      </c>
      <c r="AO4" s="45">
        <v>0.0</v>
      </c>
      <c r="AP4" s="45">
        <v>0.0</v>
      </c>
      <c r="AQ4" s="45">
        <v>0.0</v>
      </c>
      <c r="AR4" s="45">
        <v>0.0</v>
      </c>
      <c r="AS4" s="45">
        <v>0.0</v>
      </c>
      <c r="AT4" s="45">
        <v>0.0</v>
      </c>
      <c r="AU4" s="45">
        <v>0.0</v>
      </c>
      <c r="AV4" s="45">
        <f>AL4+AM4+AN4+AO4+AT4</f>
        <v>0</v>
      </c>
      <c r="AW4" s="46">
        <f>AP4+AQ4+AS4+AU4+AR4</f>
        <v>0</v>
      </c>
      <c r="AX4" s="47">
        <f>$B4</f>
        <v>1</v>
      </c>
      <c r="AY4" s="37">
        <v>0.0</v>
      </c>
      <c r="AZ4" s="38">
        <v>0.0</v>
      </c>
      <c r="BA4" s="39">
        <v>0.0</v>
      </c>
      <c r="BB4" s="40">
        <v>0.0</v>
      </c>
      <c r="BC4" s="41">
        <f>AY4+BA4</f>
        <v>0</v>
      </c>
      <c r="BD4" s="42" t="str">
        <f>iferror(BE4/BC4,"")</f>
        <v/>
      </c>
      <c r="BE4" s="43">
        <f>AZ4+BB4</f>
        <v>0</v>
      </c>
      <c r="BF4" s="37"/>
      <c r="BG4" s="39"/>
      <c r="BH4" s="44"/>
      <c r="BI4" s="45">
        <v>0.0</v>
      </c>
      <c r="BJ4" s="45">
        <v>0.0</v>
      </c>
      <c r="BK4" s="45">
        <v>0.0</v>
      </c>
      <c r="BL4" s="45">
        <v>0.0</v>
      </c>
      <c r="BM4" s="45">
        <v>0.0</v>
      </c>
      <c r="BN4" s="45">
        <v>0.0</v>
      </c>
      <c r="BO4" s="45">
        <v>0.0</v>
      </c>
      <c r="BP4" s="45">
        <v>0.0</v>
      </c>
      <c r="BQ4" s="45">
        <v>0.0</v>
      </c>
      <c r="BR4" s="45">
        <v>0.0</v>
      </c>
      <c r="BS4" s="45">
        <f>BI4+BJ4+BK4+BL4+BQ4</f>
        <v>0</v>
      </c>
      <c r="BT4" s="46">
        <f>BM4+BN4+BP4+BR4+BO4</f>
        <v>0</v>
      </c>
      <c r="BU4" s="47">
        <f>$B4</f>
        <v>1</v>
      </c>
      <c r="BV4" s="37">
        <v>0.0</v>
      </c>
      <c r="BW4" s="38">
        <v>0.0</v>
      </c>
      <c r="BX4" s="39">
        <v>0.0</v>
      </c>
      <c r="BY4" s="40">
        <v>0.0</v>
      </c>
      <c r="BZ4" s="41">
        <f>BV4+BX4</f>
        <v>0</v>
      </c>
      <c r="CA4" s="42" t="str">
        <f>iferror(CB4/BZ4,"")</f>
        <v/>
      </c>
      <c r="CB4" s="43">
        <f>BW4+BY4</f>
        <v>0</v>
      </c>
      <c r="CC4" s="37">
        <v>0.0</v>
      </c>
      <c r="CD4" s="39">
        <v>0.0</v>
      </c>
      <c r="CE4" s="44">
        <f>CC4+CD4</f>
        <v>0</v>
      </c>
      <c r="CF4" s="45">
        <v>0.0</v>
      </c>
      <c r="CG4" s="45">
        <v>0.0</v>
      </c>
      <c r="CH4" s="45">
        <v>0.0</v>
      </c>
      <c r="CI4" s="45">
        <v>0.0</v>
      </c>
      <c r="CJ4" s="45">
        <v>0.0</v>
      </c>
      <c r="CK4" s="45">
        <v>0.0</v>
      </c>
      <c r="CL4" s="45">
        <v>0.0</v>
      </c>
      <c r="CM4" s="45">
        <v>0.0</v>
      </c>
      <c r="CN4" s="45">
        <v>0.0</v>
      </c>
      <c r="CO4" s="45">
        <v>0.0</v>
      </c>
      <c r="CP4" s="45">
        <f>CF4+CG4+CH4+CI4+CN4</f>
        <v>0</v>
      </c>
      <c r="CQ4" s="46">
        <f>CJ4+CK4+CM4+CO4+CL4</f>
        <v>0</v>
      </c>
      <c r="CR4" s="48">
        <f>$B4</f>
        <v>1</v>
      </c>
      <c r="CS4" s="37">
        <v>0.0</v>
      </c>
      <c r="CT4" s="38">
        <v>0.0</v>
      </c>
      <c r="CU4" s="39">
        <v>0.0</v>
      </c>
      <c r="CV4" s="40">
        <v>0.0</v>
      </c>
      <c r="CW4" s="41">
        <f>CS4+CU4</f>
        <v>0</v>
      </c>
      <c r="CX4" s="42" t="str">
        <f>iferror(CY4/CW4,"")</f>
        <v/>
      </c>
      <c r="CY4" s="43">
        <f>CT4+CV4</f>
        <v>0</v>
      </c>
      <c r="CZ4" s="37">
        <v>0.0</v>
      </c>
      <c r="DA4" s="39">
        <v>0.0</v>
      </c>
      <c r="DB4" s="44">
        <f>CZ4+DA4</f>
        <v>0</v>
      </c>
      <c r="DC4" s="45">
        <v>0.0</v>
      </c>
      <c r="DD4" s="45">
        <v>0.0</v>
      </c>
      <c r="DE4" s="45">
        <v>0.0</v>
      </c>
      <c r="DF4" s="45">
        <v>0.0</v>
      </c>
      <c r="DG4" s="45">
        <v>0.0</v>
      </c>
      <c r="DH4" s="45">
        <v>0.0</v>
      </c>
      <c r="DI4" s="45">
        <v>0.0</v>
      </c>
      <c r="DJ4" s="45">
        <v>0.0</v>
      </c>
      <c r="DK4" s="45">
        <v>0.0</v>
      </c>
      <c r="DL4" s="45">
        <v>0.0</v>
      </c>
      <c r="DM4" s="45">
        <f>DC4+DD4+DE4+DF4+DK4</f>
        <v>0</v>
      </c>
      <c r="DN4" s="46">
        <f>DG4+DH4+DJ4+DL4+DI4</f>
        <v>0</v>
      </c>
      <c r="DO4" s="48">
        <f>$B4</f>
        <v>1</v>
      </c>
      <c r="DP4" s="37">
        <f t="shared" ref="DP4:DQ4" si="1">E4+AB4+AY4+BV4+CS4</f>
        <v>0</v>
      </c>
      <c r="DQ4" s="49">
        <f t="shared" si="1"/>
        <v>0</v>
      </c>
      <c r="DR4" s="49">
        <f t="shared" ref="DR4:DR5" si="15">IF(DP4=0,0,DQ4/DP4)</f>
        <v>0</v>
      </c>
      <c r="DS4" s="50">
        <f t="shared" ref="DS4:DT4" si="2">G4+AD4+BA4+BX4+CU4</f>
        <v>0</v>
      </c>
      <c r="DT4" s="49">
        <f t="shared" si="2"/>
        <v>0</v>
      </c>
      <c r="DU4" s="49">
        <f t="shared" ref="DU4:DU5" si="17">IF(DS4=0,0,DT4/DS4)</f>
        <v>0</v>
      </c>
      <c r="DV4" s="50">
        <f>DP4+DS4</f>
        <v>0</v>
      </c>
      <c r="DW4" s="42" t="str">
        <f>iferror(DX4/DV4,"")</f>
        <v/>
      </c>
      <c r="DX4" s="49">
        <f>DQ4+DT4</f>
        <v>0</v>
      </c>
      <c r="DY4" s="37">
        <f>L4+AI4+BF4+CC4+CZ4</f>
        <v>0</v>
      </c>
      <c r="DZ4" s="39">
        <f>BG4+AJ4+M4+CD4+DA4</f>
        <v>0</v>
      </c>
      <c r="EA4" s="44">
        <f>DY4+DZ4</f>
        <v>0</v>
      </c>
      <c r="EB4" s="45">
        <f t="shared" ref="EB4:EK4" si="3">O4+AL4+BI4+CF4+DC4</f>
        <v>0</v>
      </c>
      <c r="EC4" s="45">
        <f t="shared" si="3"/>
        <v>0</v>
      </c>
      <c r="ED4" s="45">
        <f t="shared" si="3"/>
        <v>0</v>
      </c>
      <c r="EE4" s="45">
        <f t="shared" si="3"/>
        <v>0</v>
      </c>
      <c r="EF4" s="45">
        <f t="shared" si="3"/>
        <v>0</v>
      </c>
      <c r="EG4" s="45">
        <f t="shared" si="3"/>
        <v>0</v>
      </c>
      <c r="EH4" s="45">
        <f t="shared" si="3"/>
        <v>0</v>
      </c>
      <c r="EI4" s="45">
        <f t="shared" si="3"/>
        <v>0</v>
      </c>
      <c r="EJ4" s="45">
        <f t="shared" si="3"/>
        <v>0</v>
      </c>
      <c r="EK4" s="45">
        <f t="shared" si="3"/>
        <v>0</v>
      </c>
      <c r="EL4" s="45">
        <f>EB4+EC4+ED4+EE4+EJ4</f>
        <v>0</v>
      </c>
      <c r="EM4" s="46">
        <f>EF4+EG4+EI4+EK4+EH4</f>
        <v>0</v>
      </c>
      <c r="EN4" s="47">
        <f>$B4</f>
        <v>1</v>
      </c>
      <c r="EO4" s="51">
        <v>0.0</v>
      </c>
      <c r="EP4" s="52">
        <v>0.0</v>
      </c>
      <c r="EQ4" s="53">
        <f>EO4+EP4</f>
        <v>0</v>
      </c>
      <c r="ER4" s="54">
        <v>0.0</v>
      </c>
      <c r="ES4" s="55">
        <v>0.0</v>
      </c>
      <c r="ET4" s="56">
        <f>+ER4+ES4</f>
        <v>0</v>
      </c>
    </row>
    <row r="5" ht="15.75" customHeight="1">
      <c r="A5" s="1"/>
      <c r="B5" s="1"/>
      <c r="C5" s="57" t="s">
        <v>1</v>
      </c>
      <c r="D5" s="36"/>
      <c r="E5" s="58">
        <f t="shared" ref="E5:I5" si="4">SUM(E4)</f>
        <v>0</v>
      </c>
      <c r="F5" s="59">
        <f t="shared" si="4"/>
        <v>0</v>
      </c>
      <c r="G5" s="58">
        <f t="shared" si="4"/>
        <v>0</v>
      </c>
      <c r="H5" s="59">
        <f t="shared" si="4"/>
        <v>0</v>
      </c>
      <c r="I5" s="60">
        <f t="shared" si="4"/>
        <v>0</v>
      </c>
      <c r="J5" s="61" t="str">
        <f>IFERROR(K5/I5,"")</f>
        <v/>
      </c>
      <c r="K5" s="62">
        <f>sum(K4)</f>
        <v>0</v>
      </c>
      <c r="L5" s="58">
        <f t="shared" ref="L5:Z5" si="5">SUM(L4)</f>
        <v>0</v>
      </c>
      <c r="M5" s="63">
        <f t="shared" si="5"/>
        <v>0</v>
      </c>
      <c r="N5" s="64">
        <f t="shared" si="5"/>
        <v>0</v>
      </c>
      <c r="O5" s="65">
        <f t="shared" si="5"/>
        <v>0</v>
      </c>
      <c r="P5" s="65">
        <f t="shared" si="5"/>
        <v>0</v>
      </c>
      <c r="Q5" s="65">
        <f t="shared" si="5"/>
        <v>0</v>
      </c>
      <c r="R5" s="65">
        <f t="shared" si="5"/>
        <v>0</v>
      </c>
      <c r="S5" s="65">
        <f t="shared" si="5"/>
        <v>0</v>
      </c>
      <c r="T5" s="65">
        <f t="shared" si="5"/>
        <v>0</v>
      </c>
      <c r="U5" s="65">
        <f t="shared" si="5"/>
        <v>0</v>
      </c>
      <c r="V5" s="65">
        <f t="shared" si="5"/>
        <v>0</v>
      </c>
      <c r="W5" s="65">
        <f t="shared" si="5"/>
        <v>0</v>
      </c>
      <c r="X5" s="65">
        <f t="shared" si="5"/>
        <v>0</v>
      </c>
      <c r="Y5" s="65">
        <f t="shared" si="5"/>
        <v>0</v>
      </c>
      <c r="Z5" s="65">
        <f t="shared" si="5"/>
        <v>0</v>
      </c>
      <c r="AA5" s="29"/>
      <c r="AB5" s="58">
        <f t="shared" ref="AB5:AF5" si="6">SUM(AB4)</f>
        <v>0</v>
      </c>
      <c r="AC5" s="59">
        <f t="shared" si="6"/>
        <v>0</v>
      </c>
      <c r="AD5" s="58">
        <f t="shared" si="6"/>
        <v>0</v>
      </c>
      <c r="AE5" s="59">
        <f t="shared" si="6"/>
        <v>0</v>
      </c>
      <c r="AF5" s="60">
        <f t="shared" si="6"/>
        <v>0</v>
      </c>
      <c r="AG5" s="61" t="str">
        <f>IFERROR(AH5/AF5,"")</f>
        <v/>
      </c>
      <c r="AH5" s="62">
        <f>sum(AH4)</f>
        <v>0</v>
      </c>
      <c r="AI5" s="58">
        <f t="shared" ref="AI5:AW5" si="7">SUM(AI4)</f>
        <v>0</v>
      </c>
      <c r="AJ5" s="63">
        <f t="shared" si="7"/>
        <v>0</v>
      </c>
      <c r="AK5" s="64">
        <f t="shared" si="7"/>
        <v>0</v>
      </c>
      <c r="AL5" s="65">
        <f t="shared" si="7"/>
        <v>0</v>
      </c>
      <c r="AM5" s="65">
        <f t="shared" si="7"/>
        <v>0</v>
      </c>
      <c r="AN5" s="65">
        <f t="shared" si="7"/>
        <v>0</v>
      </c>
      <c r="AO5" s="65">
        <f t="shared" si="7"/>
        <v>0</v>
      </c>
      <c r="AP5" s="65">
        <f t="shared" si="7"/>
        <v>0</v>
      </c>
      <c r="AQ5" s="65">
        <f t="shared" si="7"/>
        <v>0</v>
      </c>
      <c r="AR5" s="65">
        <f t="shared" si="7"/>
        <v>0</v>
      </c>
      <c r="AS5" s="65">
        <f t="shared" si="7"/>
        <v>0</v>
      </c>
      <c r="AT5" s="65">
        <f t="shared" si="7"/>
        <v>0</v>
      </c>
      <c r="AU5" s="65">
        <f t="shared" si="7"/>
        <v>0</v>
      </c>
      <c r="AV5" s="65">
        <f t="shared" si="7"/>
        <v>0</v>
      </c>
      <c r="AW5" s="65">
        <f t="shared" si="7"/>
        <v>0</v>
      </c>
      <c r="AX5" s="29"/>
      <c r="AY5" s="58">
        <f t="shared" ref="AY5:BC5" si="8">SUM(AY4)</f>
        <v>0</v>
      </c>
      <c r="AZ5" s="59">
        <f t="shared" si="8"/>
        <v>0</v>
      </c>
      <c r="BA5" s="58">
        <f t="shared" si="8"/>
        <v>0</v>
      </c>
      <c r="BB5" s="59">
        <f t="shared" si="8"/>
        <v>0</v>
      </c>
      <c r="BC5" s="60">
        <f t="shared" si="8"/>
        <v>0</v>
      </c>
      <c r="BD5" s="61" t="str">
        <f>IFERROR(BE5/BC5,"")</f>
        <v/>
      </c>
      <c r="BE5" s="62">
        <f>sum(BE4)</f>
        <v>0</v>
      </c>
      <c r="BF5" s="58">
        <f t="shared" ref="BF5:BT5" si="9">SUM(BF4)</f>
        <v>0</v>
      </c>
      <c r="BG5" s="63">
        <f t="shared" si="9"/>
        <v>0</v>
      </c>
      <c r="BH5" s="64">
        <f t="shared" si="9"/>
        <v>0</v>
      </c>
      <c r="BI5" s="65">
        <f t="shared" si="9"/>
        <v>0</v>
      </c>
      <c r="BJ5" s="65">
        <f t="shared" si="9"/>
        <v>0</v>
      </c>
      <c r="BK5" s="65">
        <f t="shared" si="9"/>
        <v>0</v>
      </c>
      <c r="BL5" s="65">
        <f t="shared" si="9"/>
        <v>0</v>
      </c>
      <c r="BM5" s="65">
        <f t="shared" si="9"/>
        <v>0</v>
      </c>
      <c r="BN5" s="65">
        <f t="shared" si="9"/>
        <v>0</v>
      </c>
      <c r="BO5" s="65">
        <f t="shared" si="9"/>
        <v>0</v>
      </c>
      <c r="BP5" s="65">
        <f t="shared" si="9"/>
        <v>0</v>
      </c>
      <c r="BQ5" s="65">
        <f t="shared" si="9"/>
        <v>0</v>
      </c>
      <c r="BR5" s="65">
        <f t="shared" si="9"/>
        <v>0</v>
      </c>
      <c r="BS5" s="65">
        <f t="shared" si="9"/>
        <v>0</v>
      </c>
      <c r="BT5" s="65">
        <f t="shared" si="9"/>
        <v>0</v>
      </c>
      <c r="BU5" s="29"/>
      <c r="BV5" s="58">
        <f t="shared" ref="BV5:BZ5" si="10">SUM(BV4)</f>
        <v>0</v>
      </c>
      <c r="BW5" s="59">
        <f t="shared" si="10"/>
        <v>0</v>
      </c>
      <c r="BX5" s="58">
        <f t="shared" si="10"/>
        <v>0</v>
      </c>
      <c r="BY5" s="59">
        <f t="shared" si="10"/>
        <v>0</v>
      </c>
      <c r="BZ5" s="60">
        <f t="shared" si="10"/>
        <v>0</v>
      </c>
      <c r="CA5" s="61" t="str">
        <f>IFERROR(CB5/BZ5,"")</f>
        <v/>
      </c>
      <c r="CB5" s="62">
        <f>sum(CB4)</f>
        <v>0</v>
      </c>
      <c r="CC5" s="58">
        <f t="shared" ref="CC5:CQ5" si="11">SUM(CC4)</f>
        <v>0</v>
      </c>
      <c r="CD5" s="63">
        <f t="shared" si="11"/>
        <v>0</v>
      </c>
      <c r="CE5" s="64">
        <f t="shared" si="11"/>
        <v>0</v>
      </c>
      <c r="CF5" s="65">
        <f t="shared" si="11"/>
        <v>0</v>
      </c>
      <c r="CG5" s="65">
        <f t="shared" si="11"/>
        <v>0</v>
      </c>
      <c r="CH5" s="65">
        <f t="shared" si="11"/>
        <v>0</v>
      </c>
      <c r="CI5" s="65">
        <f t="shared" si="11"/>
        <v>0</v>
      </c>
      <c r="CJ5" s="65">
        <f t="shared" si="11"/>
        <v>0</v>
      </c>
      <c r="CK5" s="65">
        <f t="shared" si="11"/>
        <v>0</v>
      </c>
      <c r="CL5" s="65">
        <f t="shared" si="11"/>
        <v>0</v>
      </c>
      <c r="CM5" s="65">
        <f t="shared" si="11"/>
        <v>0</v>
      </c>
      <c r="CN5" s="65">
        <f t="shared" si="11"/>
        <v>0</v>
      </c>
      <c r="CO5" s="65">
        <f t="shared" si="11"/>
        <v>0</v>
      </c>
      <c r="CP5" s="65">
        <f t="shared" si="11"/>
        <v>0</v>
      </c>
      <c r="CQ5" s="65">
        <f t="shared" si="11"/>
        <v>0</v>
      </c>
      <c r="CR5" s="29"/>
      <c r="CS5" s="58">
        <f t="shared" ref="CS5:CW5" si="12">SUM(CS4)</f>
        <v>0</v>
      </c>
      <c r="CT5" s="59">
        <f t="shared" si="12"/>
        <v>0</v>
      </c>
      <c r="CU5" s="58">
        <f t="shared" si="12"/>
        <v>0</v>
      </c>
      <c r="CV5" s="59">
        <f t="shared" si="12"/>
        <v>0</v>
      </c>
      <c r="CW5" s="60">
        <f t="shared" si="12"/>
        <v>0</v>
      </c>
      <c r="CX5" s="61" t="str">
        <f>IFERROR(CY5/CW5,"")</f>
        <v/>
      </c>
      <c r="CY5" s="62">
        <f>sum(CY4)</f>
        <v>0</v>
      </c>
      <c r="CZ5" s="58">
        <f t="shared" ref="CZ5:DN5" si="13">SUM(CZ4)</f>
        <v>0</v>
      </c>
      <c r="DA5" s="63">
        <f t="shared" si="13"/>
        <v>0</v>
      </c>
      <c r="DB5" s="64">
        <f t="shared" si="13"/>
        <v>0</v>
      </c>
      <c r="DC5" s="65">
        <f t="shared" si="13"/>
        <v>0</v>
      </c>
      <c r="DD5" s="65">
        <f t="shared" si="13"/>
        <v>0</v>
      </c>
      <c r="DE5" s="65">
        <f t="shared" si="13"/>
        <v>0</v>
      </c>
      <c r="DF5" s="65">
        <f t="shared" si="13"/>
        <v>0</v>
      </c>
      <c r="DG5" s="65">
        <f t="shared" si="13"/>
        <v>0</v>
      </c>
      <c r="DH5" s="65">
        <f t="shared" si="13"/>
        <v>0</v>
      </c>
      <c r="DI5" s="65">
        <f t="shared" si="13"/>
        <v>0</v>
      </c>
      <c r="DJ5" s="65">
        <f t="shared" si="13"/>
        <v>0</v>
      </c>
      <c r="DK5" s="65">
        <f t="shared" si="13"/>
        <v>0</v>
      </c>
      <c r="DL5" s="65">
        <f t="shared" si="13"/>
        <v>0</v>
      </c>
      <c r="DM5" s="65">
        <f t="shared" si="13"/>
        <v>0</v>
      </c>
      <c r="DN5" s="65">
        <f t="shared" si="13"/>
        <v>0</v>
      </c>
      <c r="DO5" s="29"/>
      <c r="DP5" s="58">
        <f t="shared" ref="DP5:DQ5" si="14">SUM(DP4)</f>
        <v>0</v>
      </c>
      <c r="DQ5" s="59">
        <f t="shared" si="14"/>
        <v>0</v>
      </c>
      <c r="DR5" s="49">
        <f t="shared" si="15"/>
        <v>0</v>
      </c>
      <c r="DS5" s="58">
        <f t="shared" ref="DS5:DT5" si="16">SUM(DS4)</f>
        <v>0</v>
      </c>
      <c r="DT5" s="59">
        <f t="shared" si="16"/>
        <v>0</v>
      </c>
      <c r="DU5" s="49">
        <f t="shared" si="17"/>
        <v>0</v>
      </c>
      <c r="DV5" s="60">
        <f>SUM(DV4)</f>
        <v>0</v>
      </c>
      <c r="DW5" s="61" t="str">
        <f>IFERROR(DX5/DV5,"")</f>
        <v/>
      </c>
      <c r="DX5" s="62">
        <f>sum(DX4)</f>
        <v>0</v>
      </c>
      <c r="DY5" s="58">
        <f t="shared" ref="DY5:EM5" si="18">SUM(DY4)</f>
        <v>0</v>
      </c>
      <c r="DZ5" s="63">
        <f t="shared" si="18"/>
        <v>0</v>
      </c>
      <c r="EA5" s="64">
        <f t="shared" si="18"/>
        <v>0</v>
      </c>
      <c r="EB5" s="65">
        <f t="shared" si="18"/>
        <v>0</v>
      </c>
      <c r="EC5" s="65">
        <f t="shared" si="18"/>
        <v>0</v>
      </c>
      <c r="ED5" s="65">
        <f t="shared" si="18"/>
        <v>0</v>
      </c>
      <c r="EE5" s="65">
        <f t="shared" si="18"/>
        <v>0</v>
      </c>
      <c r="EF5" s="65">
        <f t="shared" si="18"/>
        <v>0</v>
      </c>
      <c r="EG5" s="65">
        <f t="shared" si="18"/>
        <v>0</v>
      </c>
      <c r="EH5" s="65">
        <f t="shared" si="18"/>
        <v>0</v>
      </c>
      <c r="EI5" s="65">
        <f t="shared" si="18"/>
        <v>0</v>
      </c>
      <c r="EJ5" s="65">
        <f t="shared" si="18"/>
        <v>0</v>
      </c>
      <c r="EK5" s="65">
        <f t="shared" si="18"/>
        <v>0</v>
      </c>
      <c r="EL5" s="65">
        <f t="shared" si="18"/>
        <v>0</v>
      </c>
      <c r="EM5" s="65">
        <f t="shared" si="18"/>
        <v>0</v>
      </c>
      <c r="EN5" s="66"/>
      <c r="EO5" s="58">
        <f t="shared" ref="EO5:ES5" si="19">SUM(EO4)</f>
        <v>0</v>
      </c>
      <c r="EP5" s="63">
        <f t="shared" si="19"/>
        <v>0</v>
      </c>
      <c r="EQ5" s="64">
        <f t="shared" si="19"/>
        <v>0</v>
      </c>
      <c r="ER5" s="67">
        <f t="shared" si="19"/>
        <v>0</v>
      </c>
      <c r="ES5" s="68">
        <f t="shared" si="19"/>
        <v>0</v>
      </c>
      <c r="ET5" s="69">
        <f>SUM(ER5:ES5)</f>
        <v>0</v>
      </c>
    </row>
    <row r="6" ht="34.5" customHeight="1">
      <c r="A6" s="70"/>
      <c r="B6" s="70"/>
      <c r="C6" s="3"/>
      <c r="D6" s="3"/>
      <c r="E6" s="71"/>
      <c r="F6" s="71"/>
      <c r="G6" s="71"/>
      <c r="H6" s="71"/>
      <c r="I6" s="3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 t="s">
        <v>47</v>
      </c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</row>
    <row r="7" ht="32.25" customHeight="1">
      <c r="A7" s="72"/>
      <c r="B7" s="3"/>
      <c r="C7" s="72"/>
      <c r="D7" s="72"/>
      <c r="E7" s="72"/>
      <c r="F7" s="72"/>
      <c r="G7" s="72"/>
      <c r="H7" s="72"/>
      <c r="I7" s="3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 t="s">
        <v>48</v>
      </c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</row>
  </sheetData>
  <mergeCells count="27">
    <mergeCell ref="E1:Z1"/>
    <mergeCell ref="EO1:ET1"/>
    <mergeCell ref="AB1:AW1"/>
    <mergeCell ref="AY1:BT1"/>
    <mergeCell ref="BV1:CQ1"/>
    <mergeCell ref="CS1:DN1"/>
    <mergeCell ref="DP1:EM1"/>
    <mergeCell ref="E2:K2"/>
    <mergeCell ref="L2:N2"/>
    <mergeCell ref="O2:Z2"/>
    <mergeCell ref="AB2:AH2"/>
    <mergeCell ref="AI2:AK2"/>
    <mergeCell ref="AV2:AW2"/>
    <mergeCell ref="AY2:BE2"/>
    <mergeCell ref="DP2:DX2"/>
    <mergeCell ref="DY2:EA2"/>
    <mergeCell ref="EL2:EM2"/>
    <mergeCell ref="EO2:EQ2"/>
    <mergeCell ref="ER2:ET2"/>
    <mergeCell ref="DC2:DN2"/>
    <mergeCell ref="BF2:BH2"/>
    <mergeCell ref="BS2:BT2"/>
    <mergeCell ref="BV2:CB2"/>
    <mergeCell ref="CC2:CE2"/>
    <mergeCell ref="CS2:CY2"/>
    <mergeCell ref="CZ2:DB2"/>
    <mergeCell ref="CF2:CQ2"/>
  </mergeCells>
  <conditionalFormatting sqref="DW4">
    <cfRule type="colorScale" priority="1">
      <colorScale>
        <cfvo type="formula" val="0"/>
        <cfvo type="formula" val="6"/>
        <cfvo type="max"/>
        <color rgb="FFE67C73"/>
        <color rgb="FFB6D7A8"/>
        <color rgb="FF57BB8A"/>
      </colorScale>
    </cfRule>
  </conditionalFormatting>
  <printOptions/>
  <pageMargins bottom="0.75" footer="0.0" header="0.0" left="0.25" right="0.25" top="0.75"/>
  <pageSetup orientation="landscape"/>
  <drawing r:id="rId1"/>
</worksheet>
</file>