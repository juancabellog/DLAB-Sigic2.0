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1-Y5 (SIGIC)" sheetId="1" r:id="rId5"/>
  </sheets>
  <definedNames/>
  <calcPr/>
</workbook>
</file>

<file path=xl/sharedStrings.xml><?xml version="1.0" encoding="utf-8"?>
<sst xmlns="http://schemas.openxmlformats.org/spreadsheetml/2006/main" count="120" uniqueCount="36">
  <si>
    <t>AÑO</t>
  </si>
  <si>
    <t>TOTAL</t>
  </si>
  <si>
    <t>PROYECTOS</t>
  </si>
  <si>
    <t>PUBLICACIONES</t>
  </si>
  <si>
    <t>PATENTES</t>
  </si>
  <si>
    <t>ESTUDIANTES</t>
  </si>
  <si>
    <t>ESTUD.</t>
  </si>
  <si>
    <t>CANTIDAD</t>
  </si>
  <si>
    <t>FONDOS APORTADOS (M$)</t>
  </si>
  <si>
    <t>#</t>
  </si>
  <si>
    <t>Investigador Asociado</t>
  </si>
  <si>
    <t>Tipo</t>
  </si>
  <si>
    <t>A. Ppal.</t>
  </si>
  <si>
    <t>Imp. Ppal.</t>
  </si>
  <si>
    <t>A. Sec.</t>
  </si>
  <si>
    <t>Imp. Sec.</t>
  </si>
  <si>
    <t>Total Pub.</t>
  </si>
  <si>
    <t>Impacto Prom.</t>
  </si>
  <si>
    <t>Impacto Acumul.</t>
  </si>
  <si>
    <t>Sol.</t>
  </si>
  <si>
    <t>Aprob.</t>
  </si>
  <si>
    <t>Total</t>
  </si>
  <si>
    <t>Total Tutor</t>
  </si>
  <si>
    <t>Total CoTutor</t>
  </si>
  <si>
    <t>En curso</t>
  </si>
  <si>
    <t>Term.</t>
  </si>
  <si>
    <t>Postdoc</t>
  </si>
  <si>
    <t>Total. Tutor</t>
  </si>
  <si>
    <t>Nac.</t>
  </si>
  <si>
    <t>Intl.</t>
  </si>
  <si>
    <t>Nacional</t>
  </si>
  <si>
    <t>Intl</t>
  </si>
  <si>
    <t>TOTAL ($)</t>
  </si>
  <si>
    <t>Amelina Albornoz</t>
  </si>
  <si>
    <t>INFORME DE PRODUCTIVIDAD INVESTIGADORES ASOCIADOS CENTRO BASAL CIENCIA &amp; VIDA</t>
  </si>
  <si>
    <t xml:space="preserve"> Al 31/07/2025 (Cierre Técnico Año 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</si>
</sst>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\ #,##0_);_(\ \(#,##0\);_(\ &quot;-&quot;??_);_(@_)"/>
    <numFmt numFmtId="165" formatCode="_(\ #,##0.0_);_(\ \(#,##0.0\);_(\ &quot;-&quot;??.0_);_(@_)"/>
    <numFmt numFmtId="166" formatCode="#,##0.0_ ;\-#,##0.0\ "/>
    <numFmt numFmtId="167" formatCode="#,##0_ ;\-#,##0\ "/>
    <numFmt numFmtId="168" formatCode="_-&quot;$&quot;* #,##0_-;\-&quot;$&quot;* #,##0_-;_-&quot;$&quot;* &quot;-&quot;_-;_-@"/>
  </numFmts>
  <fonts count="8">
    <font>
      <sz val="10.0"/>
      <color rgb="FF000000"/>
      <name val="Arial"/>
      <scheme val="minor"/>
    </font>
    <font>
      <sz val="12.0"/>
      <color theme="1"/>
      <name val="Calibri"/>
    </font>
    <font>
      <b/>
      <sz val="12.0"/>
      <color theme="1"/>
      <name val="Calibri"/>
    </font>
    <font/>
    <font>
      <b/>
      <sz val="12.0"/>
      <color rgb="FF000000"/>
      <name val="Calibri"/>
    </font>
    <font>
      <sz val="11.0"/>
      <color theme="1"/>
      <name val="Calibri"/>
    </font>
    <font>
      <b/>
      <sz val="24.0"/>
      <color theme="1"/>
      <name val="Calibri"/>
    </font>
    <font>
      <b/>
      <sz val="2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8D8D8"/>
        <bgColor rgb="FFD8D8D8"/>
      </patternFill>
    </fill>
  </fills>
  <borders count="2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ck">
        <color rgb="FF000000"/>
      </left>
      <bottom style="thick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1" fillId="2" fontId="2" numFmtId="0" xfId="0" applyAlignment="1" applyBorder="1" applyFill="1" applyFont="1">
      <alignment horizontal="center" shrinkToFit="0" wrapText="1"/>
    </xf>
    <xf borderId="2" fillId="3" fontId="2" numFmtId="0" xfId="0" applyAlignment="1" applyBorder="1" applyFill="1" applyFont="1">
      <alignment horizontal="center" shrinkToFit="0" wrapText="1"/>
    </xf>
    <xf borderId="2" fillId="0" fontId="3" numFmtId="0" xfId="0" applyBorder="1" applyFont="1"/>
    <xf borderId="3" fillId="0" fontId="3" numFmtId="0" xfId="0" applyBorder="1" applyFont="1"/>
    <xf borderId="0" fillId="0" fontId="2" numFmtId="0" xfId="0" applyAlignment="1" applyFont="1">
      <alignment horizontal="center" shrinkToFit="0" wrapText="1"/>
    </xf>
    <xf borderId="4" fillId="3" fontId="2" numFmtId="0" xfId="0" applyAlignment="1" applyBorder="1" applyFont="1">
      <alignment horizontal="center" shrinkToFit="0" wrapText="1"/>
    </xf>
    <xf borderId="4" fillId="3" fontId="2" numFmtId="0" xfId="0" applyAlignment="1" applyBorder="1" applyFont="1">
      <alignment horizontal="center" readingOrder="0" shrinkToFit="0" wrapText="1"/>
    </xf>
    <xf borderId="0" fillId="3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5" fillId="3" fontId="2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0" fillId="3" fontId="2" numFmtId="0" xfId="0" applyAlignment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center" readingOrder="0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horizontal="center" shrinkToFit="0" vertical="center" wrapText="1"/>
    </xf>
    <xf borderId="13" fillId="0" fontId="1" numFmtId="0" xfId="0" applyAlignment="1" applyBorder="1" applyFont="1">
      <alignment horizontal="center" shrinkToFit="0" vertical="center" wrapText="1"/>
    </xf>
    <xf borderId="14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15" fillId="0" fontId="2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horizontal="center" shrinkToFit="0" wrapText="1"/>
    </xf>
    <xf borderId="17" fillId="0" fontId="4" numFmtId="0" xfId="0" applyAlignment="1" applyBorder="1" applyFont="1">
      <alignment shrinkToFit="0" wrapText="1"/>
    </xf>
    <xf borderId="18" fillId="0" fontId="2" numFmtId="0" xfId="0" applyAlignment="1" applyBorder="1" applyFont="1">
      <alignment shrinkToFit="0" wrapText="1"/>
    </xf>
    <xf borderId="19" fillId="0" fontId="1" numFmtId="164" xfId="0" applyAlignment="1" applyBorder="1" applyFont="1" applyNumberFormat="1">
      <alignment horizontal="center" shrinkToFit="0" vertical="center" wrapText="1"/>
    </xf>
    <xf borderId="20" fillId="0" fontId="1" numFmtId="165" xfId="0" applyAlignment="1" applyBorder="1" applyFont="1" applyNumberFormat="1">
      <alignment horizontal="center" shrinkToFit="0" vertical="center" wrapText="1"/>
    </xf>
    <xf borderId="21" fillId="0" fontId="1" numFmtId="164" xfId="0" applyAlignment="1" applyBorder="1" applyFont="1" applyNumberFormat="1">
      <alignment horizontal="center" shrinkToFit="0" vertical="center" wrapText="1"/>
    </xf>
    <xf borderId="21" fillId="0" fontId="1" numFmtId="165" xfId="0" applyAlignment="1" applyBorder="1" applyFont="1" applyNumberFormat="1">
      <alignment horizontal="center" shrinkToFit="0" vertical="center" wrapText="1"/>
    </xf>
    <xf borderId="21" fillId="0" fontId="2" numFmtId="164" xfId="0" applyAlignment="1" applyBorder="1" applyFont="1" applyNumberFormat="1">
      <alignment horizontal="center" shrinkToFit="0" vertical="center" wrapText="1"/>
    </xf>
    <xf borderId="21" fillId="0" fontId="2" numFmtId="166" xfId="0" applyAlignment="1" applyBorder="1" applyFont="1" applyNumberFormat="1">
      <alignment horizontal="center" shrinkToFit="0" vertical="center" wrapText="1"/>
    </xf>
    <xf borderId="22" fillId="0" fontId="2" numFmtId="166" xfId="0" applyAlignment="1" applyBorder="1" applyFont="1" applyNumberFormat="1">
      <alignment horizontal="center" shrinkToFit="0" vertical="center" wrapText="1"/>
    </xf>
    <xf borderId="22" fillId="0" fontId="2" numFmtId="164" xfId="0" applyAlignment="1" applyBorder="1" applyFont="1" applyNumberFormat="1">
      <alignment horizontal="center" shrinkToFit="0" vertical="center" wrapText="1"/>
    </xf>
    <xf borderId="23" fillId="0" fontId="2" numFmtId="164" xfId="0" applyAlignment="1" applyBorder="1" applyFont="1" applyNumberFormat="1">
      <alignment horizontal="center" shrinkToFit="0" vertical="center" wrapText="1"/>
    </xf>
    <xf borderId="24" fillId="0" fontId="2" numFmtId="164" xfId="0" applyAlignment="1" applyBorder="1" applyFont="1" applyNumberFormat="1">
      <alignment horizontal="center" shrinkToFit="0" vertical="center" wrapText="1"/>
    </xf>
    <xf borderId="24" fillId="0" fontId="2" numFmtId="0" xfId="0" applyAlignment="1" applyBorder="1" applyFont="1">
      <alignment horizontal="center" shrinkToFit="0" wrapText="1"/>
    </xf>
    <xf borderId="18" fillId="0" fontId="2" numFmtId="0" xfId="0" applyAlignment="1" applyBorder="1" applyFont="1">
      <alignment horizontal="center" shrinkToFit="0" wrapText="1"/>
    </xf>
    <xf borderId="20" fillId="0" fontId="1" numFmtId="164" xfId="0" applyAlignment="1" applyBorder="1" applyFont="1" applyNumberFormat="1">
      <alignment horizontal="center" shrinkToFit="0" vertical="center" wrapText="1"/>
    </xf>
    <xf borderId="19" fillId="0" fontId="1" numFmtId="167" xfId="0" applyAlignment="1" applyBorder="1" applyFont="1" applyNumberFormat="1">
      <alignment horizontal="center" readingOrder="0" shrinkToFit="0" vertical="center" wrapText="1"/>
    </xf>
    <xf borderId="21" fillId="0" fontId="1" numFmtId="167" xfId="0" applyAlignment="1" applyBorder="1" applyFont="1" applyNumberFormat="1">
      <alignment horizontal="center" shrinkToFit="0" vertical="center" wrapText="1"/>
    </xf>
    <xf borderId="22" fillId="0" fontId="1" numFmtId="167" xfId="0" applyAlignment="1" applyBorder="1" applyFont="1" applyNumberFormat="1">
      <alignment horizontal="center" shrinkToFit="0" vertical="center" wrapText="1"/>
    </xf>
    <xf borderId="19" fillId="0" fontId="1" numFmtId="168" xfId="0" applyAlignment="1" applyBorder="1" applyFont="1" applyNumberFormat="1">
      <alignment horizontal="right" readingOrder="0" shrinkToFit="0" wrapText="1"/>
    </xf>
    <xf borderId="21" fillId="0" fontId="1" numFmtId="168" xfId="0" applyAlignment="1" applyBorder="1" applyFont="1" applyNumberFormat="1">
      <alignment horizontal="right" shrinkToFit="0" wrapText="1"/>
    </xf>
    <xf borderId="22" fillId="0" fontId="2" numFmtId="168" xfId="0" applyAlignment="1" applyBorder="1" applyFont="1" applyNumberFormat="1">
      <alignment horizontal="right" shrinkToFit="0" wrapText="1"/>
    </xf>
    <xf borderId="25" fillId="0" fontId="2" numFmtId="0" xfId="0" applyAlignment="1" applyBorder="1" applyFont="1">
      <alignment horizontal="center" shrinkToFit="0" wrapText="1"/>
    </xf>
    <xf borderId="10" fillId="0" fontId="2" numFmtId="167" xfId="0" applyAlignment="1" applyBorder="1" applyFont="1" applyNumberFormat="1">
      <alignment horizontal="center" shrinkToFit="0" vertical="center" wrapText="1"/>
    </xf>
    <xf borderId="11" fillId="0" fontId="2" numFmtId="166" xfId="0" applyAlignment="1" applyBorder="1" applyFont="1" applyNumberFormat="1">
      <alignment horizontal="center" shrinkToFit="0" vertical="center" wrapText="1"/>
    </xf>
    <xf borderId="11" fillId="0" fontId="2" numFmtId="167" xfId="0" applyAlignment="1" applyBorder="1" applyFont="1" applyNumberFormat="1">
      <alignment horizontal="center" shrinkToFit="0" vertical="center" wrapText="1"/>
    </xf>
    <xf borderId="12" fillId="0" fontId="2" numFmtId="166" xfId="0" applyAlignment="1" applyBorder="1" applyFont="1" applyNumberFormat="1">
      <alignment horizontal="center" shrinkToFit="0" vertical="center" wrapText="1"/>
    </xf>
    <xf borderId="13" fillId="0" fontId="2" numFmtId="166" xfId="0" applyAlignment="1" applyBorder="1" applyFont="1" applyNumberFormat="1">
      <alignment horizontal="center" shrinkToFit="0" vertical="center" wrapText="1"/>
    </xf>
    <xf borderId="12" fillId="0" fontId="2" numFmtId="167" xfId="0" applyAlignment="1" applyBorder="1" applyFont="1" applyNumberFormat="1">
      <alignment horizontal="center" shrinkToFit="0" vertical="center" wrapText="1"/>
    </xf>
    <xf borderId="13" fillId="0" fontId="2" numFmtId="167" xfId="0" applyAlignment="1" applyBorder="1" applyFont="1" applyNumberFormat="1">
      <alignment horizontal="center" shrinkToFit="0" vertical="center" wrapText="1"/>
    </xf>
    <xf borderId="1" fillId="0" fontId="2" numFmtId="167" xfId="0" applyAlignment="1" applyBorder="1" applyFont="1" applyNumberFormat="1">
      <alignment horizontal="center" shrinkToFit="0" vertical="center" wrapText="1"/>
    </xf>
    <xf borderId="9" fillId="0" fontId="2" numFmtId="0" xfId="0" applyAlignment="1" applyBorder="1" applyFont="1">
      <alignment horizontal="center" shrinkToFit="0" wrapText="1"/>
    </xf>
    <xf borderId="10" fillId="0" fontId="2" numFmtId="168" xfId="0" applyAlignment="1" applyBorder="1" applyFont="1" applyNumberFormat="1">
      <alignment horizontal="center" shrinkToFit="0" vertical="center" wrapText="1"/>
    </xf>
    <xf borderId="12" fillId="0" fontId="2" numFmtId="168" xfId="0" applyAlignment="1" applyBorder="1" applyFont="1" applyNumberFormat="1">
      <alignment horizontal="center" shrinkToFit="0" vertical="center" wrapText="1"/>
    </xf>
    <xf borderId="13" fillId="0" fontId="2" numFmtId="168" xfId="0" applyAlignment="1" applyBorder="1" applyFont="1" applyNumberFormat="1">
      <alignment shrinkToFit="0" wrapText="1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1.88"/>
    <col customWidth="1" min="2" max="2" width="4.38"/>
    <col customWidth="1" min="3" max="3" width="36.63"/>
    <col customWidth="1" min="4" max="4" width="10.0"/>
    <col customWidth="1" min="5" max="9" width="8.0"/>
    <col customWidth="1" min="10" max="11" width="8.25"/>
    <col customWidth="1" min="12" max="15" width="8.0"/>
    <col customWidth="1" min="16" max="16" width="10.0"/>
    <col customWidth="1" min="17" max="17" width="4.0"/>
    <col customWidth="1" min="18" max="22" width="8.0"/>
    <col customWidth="1" min="23" max="24" width="8.25"/>
    <col customWidth="1" min="25" max="27" width="8.0"/>
    <col customWidth="1" min="28" max="28" width="8.25"/>
    <col customWidth="1" min="29" max="29" width="7.75"/>
    <col customWidth="1" min="30" max="30" width="4.0"/>
    <col customWidth="1" min="31" max="35" width="8.0"/>
    <col customWidth="1" min="36" max="37" width="8.25"/>
    <col customWidth="1" min="38" max="41" width="8.0"/>
    <col customWidth="1" min="42" max="42" width="8.88"/>
    <col customWidth="1" min="43" max="43" width="4.0"/>
    <col customWidth="1" min="44" max="48" width="8.0"/>
    <col customWidth="1" min="49" max="50" width="8.25"/>
    <col customWidth="1" min="51" max="53" width="8.0"/>
    <col customWidth="1" min="54" max="55" width="7.13"/>
    <col customWidth="1" min="56" max="56" width="7.63"/>
    <col customWidth="1" min="57" max="57" width="7.13"/>
    <col customWidth="1" min="58" max="58" width="8.13"/>
    <col customWidth="1" min="59" max="59" width="4.0"/>
    <col customWidth="1" min="60" max="80" width="8.0"/>
    <col customWidth="1" min="81" max="82" width="8.25"/>
    <col customWidth="1" min="83" max="85" width="8.0"/>
    <col customWidth="1" min="86" max="86" width="7.13"/>
    <col customWidth="1" min="87" max="87" width="8.88"/>
    <col customWidth="1" min="88" max="88" width="4.0"/>
    <col customWidth="1" min="89" max="89" width="6.0"/>
    <col customWidth="1" min="90" max="90" width="4.25"/>
    <col customWidth="1" min="91" max="91" width="5.13"/>
    <col customWidth="1" min="92" max="92" width="15.63"/>
    <col customWidth="1" min="93" max="93" width="13.5"/>
    <col customWidth="1" min="94" max="94" width="14.88"/>
  </cols>
  <sheetData>
    <row r="1" ht="15.75" customHeight="1">
      <c r="A1" s="1"/>
      <c r="B1" s="1"/>
      <c r="C1" s="2" t="s">
        <v>0</v>
      </c>
      <c r="E1" s="3">
        <v>1.0</v>
      </c>
      <c r="F1" s="4"/>
      <c r="G1" s="4"/>
      <c r="H1" s="4"/>
      <c r="I1" s="4"/>
      <c r="J1" s="4"/>
      <c r="K1" s="4"/>
      <c r="L1" s="4"/>
      <c r="M1" s="4"/>
      <c r="N1" s="4"/>
      <c r="O1" s="4"/>
      <c r="P1" s="5"/>
      <c r="Q1" s="6"/>
      <c r="R1" s="7">
        <v>2.0</v>
      </c>
      <c r="S1" s="4"/>
      <c r="T1" s="4"/>
      <c r="U1" s="4"/>
      <c r="V1" s="4"/>
      <c r="W1" s="4"/>
      <c r="X1" s="4"/>
      <c r="Y1" s="4"/>
      <c r="Z1" s="4"/>
      <c r="AA1" s="4"/>
      <c r="AB1" s="4"/>
      <c r="AC1" s="5"/>
      <c r="AD1" s="6"/>
      <c r="AE1" s="7">
        <v>3.0</v>
      </c>
      <c r="AF1" s="4"/>
      <c r="AG1" s="4"/>
      <c r="AH1" s="4"/>
      <c r="AI1" s="4"/>
      <c r="AJ1" s="4"/>
      <c r="AK1" s="4"/>
      <c r="AL1" s="4"/>
      <c r="AM1" s="4"/>
      <c r="AN1" s="4"/>
      <c r="AO1" s="4"/>
      <c r="AP1" s="5"/>
      <c r="AQ1" s="6"/>
      <c r="AR1" s="7">
        <v>4.0</v>
      </c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5"/>
      <c r="BG1" s="6"/>
      <c r="BH1" s="8">
        <v>5.0</v>
      </c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5"/>
      <c r="BW1" s="9"/>
      <c r="BX1" s="7" t="s">
        <v>1</v>
      </c>
      <c r="BY1" s="4"/>
      <c r="BZ1" s="4"/>
      <c r="CA1" s="4"/>
      <c r="CB1" s="4"/>
      <c r="CC1" s="4"/>
      <c r="CD1" s="4"/>
      <c r="CE1" s="4"/>
      <c r="CF1" s="4"/>
      <c r="CG1" s="4"/>
      <c r="CH1" s="4"/>
      <c r="CI1" s="5"/>
      <c r="CJ1" s="10"/>
      <c r="CK1" s="7" t="s">
        <v>2</v>
      </c>
      <c r="CL1" s="4"/>
      <c r="CM1" s="4"/>
      <c r="CN1" s="4"/>
      <c r="CO1" s="4"/>
      <c r="CP1" s="5"/>
    </row>
    <row r="2" ht="15.75" customHeight="1">
      <c r="A2" s="1"/>
      <c r="B2" s="1"/>
      <c r="C2" s="11"/>
      <c r="D2" s="11"/>
      <c r="E2" s="12" t="s">
        <v>3</v>
      </c>
      <c r="F2" s="13"/>
      <c r="G2" s="13"/>
      <c r="H2" s="13"/>
      <c r="I2" s="13"/>
      <c r="J2" s="13"/>
      <c r="K2" s="14"/>
      <c r="L2" s="12" t="s">
        <v>4</v>
      </c>
      <c r="M2" s="13"/>
      <c r="N2" s="14"/>
      <c r="O2" s="12" t="s">
        <v>5</v>
      </c>
      <c r="P2" s="14"/>
      <c r="Q2" s="10"/>
      <c r="R2" s="12" t="s">
        <v>3</v>
      </c>
      <c r="S2" s="13"/>
      <c r="T2" s="13"/>
      <c r="U2" s="13"/>
      <c r="V2" s="13"/>
      <c r="W2" s="13"/>
      <c r="X2" s="14"/>
      <c r="Y2" s="12" t="s">
        <v>4</v>
      </c>
      <c r="Z2" s="13"/>
      <c r="AA2" s="14"/>
      <c r="AB2" s="12" t="s">
        <v>5</v>
      </c>
      <c r="AC2" s="14"/>
      <c r="AD2" s="10"/>
      <c r="AE2" s="12" t="s">
        <v>3</v>
      </c>
      <c r="AF2" s="13"/>
      <c r="AG2" s="13"/>
      <c r="AH2" s="13"/>
      <c r="AI2" s="13"/>
      <c r="AJ2" s="13"/>
      <c r="AK2" s="14"/>
      <c r="AL2" s="12" t="s">
        <v>4</v>
      </c>
      <c r="AM2" s="13"/>
      <c r="AN2" s="14"/>
      <c r="AO2" s="12" t="s">
        <v>5</v>
      </c>
      <c r="AP2" s="14"/>
      <c r="AQ2" s="10"/>
      <c r="AR2" s="12" t="s">
        <v>3</v>
      </c>
      <c r="AS2" s="13"/>
      <c r="AT2" s="13"/>
      <c r="AU2" s="13"/>
      <c r="AV2" s="13"/>
      <c r="AW2" s="13"/>
      <c r="AX2" s="14"/>
      <c r="AY2" s="12" t="s">
        <v>4</v>
      </c>
      <c r="AZ2" s="13"/>
      <c r="BA2" s="14"/>
      <c r="BB2" s="12" t="s">
        <v>5</v>
      </c>
      <c r="BC2" s="13"/>
      <c r="BD2" s="13"/>
      <c r="BE2" s="13"/>
      <c r="BF2" s="14"/>
      <c r="BG2" s="10"/>
      <c r="BH2" s="12" t="s">
        <v>3</v>
      </c>
      <c r="BI2" s="13"/>
      <c r="BJ2" s="13"/>
      <c r="BK2" s="13"/>
      <c r="BL2" s="13"/>
      <c r="BM2" s="13"/>
      <c r="BN2" s="14"/>
      <c r="BO2" s="12" t="s">
        <v>4</v>
      </c>
      <c r="BP2" s="13"/>
      <c r="BQ2" s="14"/>
      <c r="BR2" s="12" t="s">
        <v>5</v>
      </c>
      <c r="BS2" s="13"/>
      <c r="BT2" s="13"/>
      <c r="BU2" s="13"/>
      <c r="BV2" s="14"/>
      <c r="BW2" s="15"/>
      <c r="BX2" s="12" t="s">
        <v>3</v>
      </c>
      <c r="BY2" s="13"/>
      <c r="BZ2" s="13"/>
      <c r="CA2" s="13"/>
      <c r="CB2" s="13"/>
      <c r="CC2" s="13"/>
      <c r="CD2" s="14"/>
      <c r="CE2" s="12" t="s">
        <v>4</v>
      </c>
      <c r="CF2" s="13"/>
      <c r="CG2" s="14"/>
      <c r="CH2" s="12" t="s">
        <v>6</v>
      </c>
      <c r="CI2" s="14"/>
      <c r="CJ2" s="10"/>
      <c r="CK2" s="12" t="s">
        <v>7</v>
      </c>
      <c r="CL2" s="13"/>
      <c r="CM2" s="14"/>
      <c r="CN2" s="12" t="s">
        <v>8</v>
      </c>
      <c r="CO2" s="13"/>
      <c r="CP2" s="14"/>
    </row>
    <row r="3" ht="15.75" customHeight="1">
      <c r="A3" s="10"/>
      <c r="B3" s="16" t="s">
        <v>9</v>
      </c>
      <c r="C3" s="17" t="s">
        <v>10</v>
      </c>
      <c r="D3" s="18" t="s">
        <v>11</v>
      </c>
      <c r="E3" s="19" t="s">
        <v>12</v>
      </c>
      <c r="F3" s="20" t="s">
        <v>13</v>
      </c>
      <c r="G3" s="21" t="s">
        <v>14</v>
      </c>
      <c r="H3" s="21" t="s">
        <v>15</v>
      </c>
      <c r="I3" s="22" t="s">
        <v>16</v>
      </c>
      <c r="J3" s="22" t="s">
        <v>17</v>
      </c>
      <c r="K3" s="23" t="s">
        <v>18</v>
      </c>
      <c r="L3" s="19" t="s">
        <v>19</v>
      </c>
      <c r="M3" s="21" t="s">
        <v>20</v>
      </c>
      <c r="N3" s="24" t="s">
        <v>21</v>
      </c>
      <c r="O3" s="25" t="s">
        <v>22</v>
      </c>
      <c r="P3" s="23" t="s">
        <v>23</v>
      </c>
      <c r="Q3" s="26" t="s">
        <v>9</v>
      </c>
      <c r="R3" s="19" t="s">
        <v>12</v>
      </c>
      <c r="S3" s="20" t="s">
        <v>13</v>
      </c>
      <c r="T3" s="21" t="s">
        <v>14</v>
      </c>
      <c r="U3" s="21" t="s">
        <v>15</v>
      </c>
      <c r="V3" s="22" t="s">
        <v>16</v>
      </c>
      <c r="W3" s="22" t="s">
        <v>17</v>
      </c>
      <c r="X3" s="23" t="s">
        <v>18</v>
      </c>
      <c r="Y3" s="19" t="s">
        <v>19</v>
      </c>
      <c r="Z3" s="21" t="s">
        <v>20</v>
      </c>
      <c r="AA3" s="24" t="s">
        <v>21</v>
      </c>
      <c r="AB3" s="25" t="s">
        <v>22</v>
      </c>
      <c r="AC3" s="23" t="s">
        <v>23</v>
      </c>
      <c r="AD3" s="26" t="s">
        <v>9</v>
      </c>
      <c r="AE3" s="19" t="s">
        <v>12</v>
      </c>
      <c r="AF3" s="20" t="s">
        <v>13</v>
      </c>
      <c r="AG3" s="21" t="s">
        <v>14</v>
      </c>
      <c r="AH3" s="21" t="s">
        <v>15</v>
      </c>
      <c r="AI3" s="22" t="s">
        <v>16</v>
      </c>
      <c r="AJ3" s="22" t="s">
        <v>17</v>
      </c>
      <c r="AK3" s="23" t="s">
        <v>18</v>
      </c>
      <c r="AL3" s="19" t="s">
        <v>19</v>
      </c>
      <c r="AM3" s="21" t="s">
        <v>20</v>
      </c>
      <c r="AN3" s="24" t="s">
        <v>21</v>
      </c>
      <c r="AO3" s="25" t="s">
        <v>22</v>
      </c>
      <c r="AP3" s="23" t="s">
        <v>23</v>
      </c>
      <c r="AQ3" s="26" t="s">
        <v>9</v>
      </c>
      <c r="AR3" s="19" t="s">
        <v>12</v>
      </c>
      <c r="AS3" s="20" t="s">
        <v>13</v>
      </c>
      <c r="AT3" s="21" t="s">
        <v>14</v>
      </c>
      <c r="AU3" s="21" t="s">
        <v>15</v>
      </c>
      <c r="AV3" s="22" t="s">
        <v>16</v>
      </c>
      <c r="AW3" s="22" t="s">
        <v>17</v>
      </c>
      <c r="AX3" s="23" t="s">
        <v>18</v>
      </c>
      <c r="AY3" s="19" t="s">
        <v>19</v>
      </c>
      <c r="AZ3" s="21" t="s">
        <v>20</v>
      </c>
      <c r="BA3" s="24" t="s">
        <v>21</v>
      </c>
      <c r="BB3" s="27" t="s">
        <v>24</v>
      </c>
      <c r="BC3" s="22" t="s">
        <v>25</v>
      </c>
      <c r="BD3" s="22" t="s">
        <v>26</v>
      </c>
      <c r="BE3" s="25" t="s">
        <v>22</v>
      </c>
      <c r="BF3" s="23" t="s">
        <v>23</v>
      </c>
      <c r="BG3" s="28" t="s">
        <v>9</v>
      </c>
      <c r="BH3" s="19" t="s">
        <v>12</v>
      </c>
      <c r="BI3" s="20" t="s">
        <v>13</v>
      </c>
      <c r="BJ3" s="21" t="s">
        <v>14</v>
      </c>
      <c r="BK3" s="21" t="s">
        <v>15</v>
      </c>
      <c r="BL3" s="22" t="s">
        <v>16</v>
      </c>
      <c r="BM3" s="22" t="s">
        <v>17</v>
      </c>
      <c r="BN3" s="23" t="s">
        <v>18</v>
      </c>
      <c r="BO3" s="19" t="s">
        <v>19</v>
      </c>
      <c r="BP3" s="21" t="s">
        <v>20</v>
      </c>
      <c r="BQ3" s="24" t="s">
        <v>21</v>
      </c>
      <c r="BR3" s="27" t="s">
        <v>24</v>
      </c>
      <c r="BS3" s="22" t="s">
        <v>25</v>
      </c>
      <c r="BT3" s="22" t="s">
        <v>26</v>
      </c>
      <c r="BU3" s="25" t="s">
        <v>22</v>
      </c>
      <c r="BV3" s="23" t="s">
        <v>23</v>
      </c>
      <c r="BW3" s="28" t="s">
        <v>9</v>
      </c>
      <c r="BX3" s="19" t="s">
        <v>12</v>
      </c>
      <c r="BY3" s="20" t="s">
        <v>13</v>
      </c>
      <c r="BZ3" s="21" t="s">
        <v>14</v>
      </c>
      <c r="CA3" s="21" t="s">
        <v>15</v>
      </c>
      <c r="CB3" s="22" t="s">
        <v>16</v>
      </c>
      <c r="CC3" s="22" t="s">
        <v>17</v>
      </c>
      <c r="CD3" s="23" t="s">
        <v>18</v>
      </c>
      <c r="CE3" s="19" t="s">
        <v>19</v>
      </c>
      <c r="CF3" s="21" t="s">
        <v>20</v>
      </c>
      <c r="CG3" s="24" t="s">
        <v>21</v>
      </c>
      <c r="CH3" s="29" t="s">
        <v>27</v>
      </c>
      <c r="CI3" s="26" t="s">
        <v>23</v>
      </c>
      <c r="CJ3" s="26" t="s">
        <v>9</v>
      </c>
      <c r="CK3" s="19" t="s">
        <v>28</v>
      </c>
      <c r="CL3" s="21" t="s">
        <v>29</v>
      </c>
      <c r="CM3" s="23" t="s">
        <v>21</v>
      </c>
      <c r="CN3" s="27" t="s">
        <v>30</v>
      </c>
      <c r="CO3" s="22" t="s">
        <v>31</v>
      </c>
      <c r="CP3" s="23" t="s">
        <v>32</v>
      </c>
    </row>
    <row r="4" ht="15.75" customHeight="1">
      <c r="A4" s="6"/>
      <c r="B4" s="30">
        <v>1.0</v>
      </c>
      <c r="C4" s="31" t="s">
        <v>33</v>
      </c>
      <c r="D4" s="32"/>
      <c r="E4" s="33">
        <v>0.0</v>
      </c>
      <c r="F4" s="34">
        <v>0.0</v>
      </c>
      <c r="G4" s="35">
        <v>0.0</v>
      </c>
      <c r="H4" s="36">
        <v>0.0</v>
      </c>
      <c r="I4" s="37">
        <f>E4+G4</f>
        <v>0</v>
      </c>
      <c r="J4" s="38" t="str">
        <f>iferror(K4/I4,"")</f>
        <v/>
      </c>
      <c r="K4" s="39">
        <f>F4+H4</f>
        <v>0</v>
      </c>
      <c r="L4" s="33"/>
      <c r="M4" s="35"/>
      <c r="N4" s="40"/>
      <c r="O4" s="41">
        <v>0.0</v>
      </c>
      <c r="P4" s="42">
        <v>0.0</v>
      </c>
      <c r="Q4" s="43">
        <f>$B4</f>
        <v>1</v>
      </c>
      <c r="R4" s="33">
        <v>0.0</v>
      </c>
      <c r="S4" s="34">
        <v>0.0</v>
      </c>
      <c r="T4" s="35">
        <v>0.0</v>
      </c>
      <c r="U4" s="36">
        <v>0.0</v>
      </c>
      <c r="V4" s="37">
        <f>R4+T4</f>
        <v>0</v>
      </c>
      <c r="W4" s="38" t="str">
        <f>iferror(X4/V4,"")</f>
        <v/>
      </c>
      <c r="X4" s="39">
        <f>S4+U4</f>
        <v>0</v>
      </c>
      <c r="Y4" s="33"/>
      <c r="Z4" s="35"/>
      <c r="AA4" s="40"/>
      <c r="AB4" s="41">
        <v>0.0</v>
      </c>
      <c r="AC4" s="42">
        <v>0.0</v>
      </c>
      <c r="AD4" s="43">
        <f>$B4</f>
        <v>1</v>
      </c>
      <c r="AE4" s="33">
        <v>0.0</v>
      </c>
      <c r="AF4" s="34">
        <v>0.0</v>
      </c>
      <c r="AG4" s="35">
        <v>0.0</v>
      </c>
      <c r="AH4" s="36">
        <v>0.0</v>
      </c>
      <c r="AI4" s="37">
        <f>AE4+AG4</f>
        <v>0</v>
      </c>
      <c r="AJ4" s="38" t="str">
        <f>iferror(AK4/AI4,"")</f>
        <v/>
      </c>
      <c r="AK4" s="39">
        <f>AF4+AH4</f>
        <v>0</v>
      </c>
      <c r="AL4" s="33"/>
      <c r="AM4" s="35"/>
      <c r="AN4" s="40"/>
      <c r="AO4" s="41">
        <v>0.0</v>
      </c>
      <c r="AP4" s="42">
        <v>0.0</v>
      </c>
      <c r="AQ4" s="43">
        <f>$B4</f>
        <v>1</v>
      </c>
      <c r="AR4" s="33">
        <v>0.0</v>
      </c>
      <c r="AS4" s="34">
        <v>0.0</v>
      </c>
      <c r="AT4" s="35">
        <v>0.0</v>
      </c>
      <c r="AU4" s="36">
        <v>0.0</v>
      </c>
      <c r="AV4" s="37">
        <f>AR4+AT4</f>
        <v>0</v>
      </c>
      <c r="AW4" s="38" t="str">
        <f>iferror(AX4/AV4,"")</f>
        <v/>
      </c>
      <c r="AX4" s="39">
        <f>AS4+AU4</f>
        <v>0</v>
      </c>
      <c r="AY4" s="33">
        <v>0.0</v>
      </c>
      <c r="AZ4" s="35">
        <v>0.0</v>
      </c>
      <c r="BA4" s="40">
        <f>AY4+AZ4</f>
        <v>0</v>
      </c>
      <c r="BB4" s="33">
        <v>0.0</v>
      </c>
      <c r="BC4" s="35">
        <v>0.0</v>
      </c>
      <c r="BD4" s="35">
        <v>0.0</v>
      </c>
      <c r="BE4" s="40">
        <f>BC4+BB4</f>
        <v>0</v>
      </c>
      <c r="BF4" s="40">
        <v>0.0</v>
      </c>
      <c r="BG4" s="44">
        <f>$B4</f>
        <v>1</v>
      </c>
      <c r="BH4" s="33">
        <v>0.0</v>
      </c>
      <c r="BI4" s="34">
        <v>0.0</v>
      </c>
      <c r="BJ4" s="35">
        <v>0.0</v>
      </c>
      <c r="BK4" s="36">
        <v>0.0</v>
      </c>
      <c r="BL4" s="37">
        <f>BH4+BJ4</f>
        <v>0</v>
      </c>
      <c r="BM4" s="38" t="str">
        <f>iferror(BN4/BL4,"")</f>
        <v/>
      </c>
      <c r="BN4" s="39">
        <f>BI4+BK4</f>
        <v>0</v>
      </c>
      <c r="BO4" s="33">
        <v>0.0</v>
      </c>
      <c r="BP4" s="35">
        <v>0.0</v>
      </c>
      <c r="BQ4" s="40">
        <f>BO4+BP4</f>
        <v>0</v>
      </c>
      <c r="BR4" s="33">
        <v>0.0</v>
      </c>
      <c r="BS4" s="35">
        <v>0.0</v>
      </c>
      <c r="BT4" s="35">
        <v>0.0</v>
      </c>
      <c r="BU4" s="40">
        <f>BS4+BR4</f>
        <v>0</v>
      </c>
      <c r="BV4" s="40">
        <v>0.0</v>
      </c>
      <c r="BW4" s="44">
        <f>$B4</f>
        <v>1</v>
      </c>
      <c r="BX4" s="33">
        <f t="shared" ref="BX4:CA4" si="1">E4+R4+AE4+AR4+BH4</f>
        <v>0</v>
      </c>
      <c r="BY4" s="34">
        <f t="shared" si="1"/>
        <v>0</v>
      </c>
      <c r="BZ4" s="45">
        <f t="shared" si="1"/>
        <v>0</v>
      </c>
      <c r="CA4" s="34">
        <f t="shared" si="1"/>
        <v>0</v>
      </c>
      <c r="CB4" s="45">
        <f>BX4+BZ4</f>
        <v>0</v>
      </c>
      <c r="CC4" s="38" t="str">
        <f>iferror(CD4/CB4,"")</f>
        <v/>
      </c>
      <c r="CD4" s="45">
        <f>BY4+CA4</f>
        <v>0</v>
      </c>
      <c r="CE4" s="33">
        <f>L4+Y4+AL4+AY4+BO4</f>
        <v>0</v>
      </c>
      <c r="CF4" s="35">
        <f>AM4+Z4+M4+AZ4+BP4</f>
        <v>0</v>
      </c>
      <c r="CG4" s="40">
        <f>CE4+CF4</f>
        <v>0</v>
      </c>
      <c r="CH4" s="41">
        <v>0.0</v>
      </c>
      <c r="CI4" s="42">
        <v>0.0</v>
      </c>
      <c r="CJ4" s="43">
        <f>$B4</f>
        <v>1</v>
      </c>
      <c r="CK4" s="46">
        <v>0.0</v>
      </c>
      <c r="CL4" s="47">
        <v>0.0</v>
      </c>
      <c r="CM4" s="48">
        <f>CK4+CL4</f>
        <v>0</v>
      </c>
      <c r="CN4" s="49">
        <v>0.0</v>
      </c>
      <c r="CO4" s="50">
        <v>0.0</v>
      </c>
      <c r="CP4" s="51">
        <f>+CN4+CO4</f>
        <v>0</v>
      </c>
    </row>
    <row r="5" ht="15.75" customHeight="1">
      <c r="A5" s="1"/>
      <c r="B5" s="1"/>
      <c r="C5" s="52" t="s">
        <v>1</v>
      </c>
      <c r="D5" s="32"/>
      <c r="E5" s="53">
        <f t="shared" ref="E5:I5" si="2">SUM(E4)</f>
        <v>0</v>
      </c>
      <c r="F5" s="54">
        <f t="shared" si="2"/>
        <v>0</v>
      </c>
      <c r="G5" s="53">
        <f t="shared" si="2"/>
        <v>0</v>
      </c>
      <c r="H5" s="54">
        <f t="shared" si="2"/>
        <v>0</v>
      </c>
      <c r="I5" s="55">
        <f t="shared" si="2"/>
        <v>0</v>
      </c>
      <c r="J5" s="56" t="str">
        <f>IFERROR(K5/I5,"")</f>
        <v/>
      </c>
      <c r="K5" s="57">
        <f>sum(K4)</f>
        <v>0</v>
      </c>
      <c r="L5" s="53">
        <f t="shared" ref="L5:P5" si="3">SUM(L4)</f>
        <v>0</v>
      </c>
      <c r="M5" s="58">
        <f t="shared" si="3"/>
        <v>0</v>
      </c>
      <c r="N5" s="59">
        <f t="shared" si="3"/>
        <v>0</v>
      </c>
      <c r="O5" s="60">
        <f t="shared" si="3"/>
        <v>0</v>
      </c>
      <c r="P5" s="60">
        <f t="shared" si="3"/>
        <v>0</v>
      </c>
      <c r="Q5" s="28"/>
      <c r="R5" s="53">
        <f t="shared" ref="R5:V5" si="4">SUM(R4)</f>
        <v>0</v>
      </c>
      <c r="S5" s="54">
        <f t="shared" si="4"/>
        <v>0</v>
      </c>
      <c r="T5" s="53">
        <f t="shared" si="4"/>
        <v>0</v>
      </c>
      <c r="U5" s="54">
        <f t="shared" si="4"/>
        <v>0</v>
      </c>
      <c r="V5" s="55">
        <f t="shared" si="4"/>
        <v>0</v>
      </c>
      <c r="W5" s="56" t="str">
        <f>IFERROR(X5/V5,"")</f>
        <v/>
      </c>
      <c r="X5" s="57">
        <f>sum(X4)</f>
        <v>0</v>
      </c>
      <c r="Y5" s="53">
        <f t="shared" ref="Y5:AC5" si="5">SUM(Y4)</f>
        <v>0</v>
      </c>
      <c r="Z5" s="58">
        <f t="shared" si="5"/>
        <v>0</v>
      </c>
      <c r="AA5" s="59">
        <f t="shared" si="5"/>
        <v>0</v>
      </c>
      <c r="AB5" s="60">
        <f t="shared" si="5"/>
        <v>0</v>
      </c>
      <c r="AC5" s="60">
        <f t="shared" si="5"/>
        <v>0</v>
      </c>
      <c r="AD5" s="28"/>
      <c r="AE5" s="53">
        <f t="shared" ref="AE5:AI5" si="6">SUM(AE4)</f>
        <v>0</v>
      </c>
      <c r="AF5" s="54">
        <f t="shared" si="6"/>
        <v>0</v>
      </c>
      <c r="AG5" s="53">
        <f t="shared" si="6"/>
        <v>0</v>
      </c>
      <c r="AH5" s="54">
        <f t="shared" si="6"/>
        <v>0</v>
      </c>
      <c r="AI5" s="55">
        <f t="shared" si="6"/>
        <v>0</v>
      </c>
      <c r="AJ5" s="56" t="str">
        <f>IFERROR(AK5/AI5,"")</f>
        <v/>
      </c>
      <c r="AK5" s="57">
        <f>sum(AK4)</f>
        <v>0</v>
      </c>
      <c r="AL5" s="53">
        <f t="shared" ref="AL5:AP5" si="7">SUM(AL4)</f>
        <v>0</v>
      </c>
      <c r="AM5" s="58">
        <f t="shared" si="7"/>
        <v>0</v>
      </c>
      <c r="AN5" s="59">
        <f t="shared" si="7"/>
        <v>0</v>
      </c>
      <c r="AO5" s="60">
        <f t="shared" si="7"/>
        <v>0</v>
      </c>
      <c r="AP5" s="60">
        <f t="shared" si="7"/>
        <v>0</v>
      </c>
      <c r="AQ5" s="28"/>
      <c r="AR5" s="53">
        <f t="shared" ref="AR5:AV5" si="8">SUM(AR4)</f>
        <v>0</v>
      </c>
      <c r="AS5" s="54">
        <f t="shared" si="8"/>
        <v>0</v>
      </c>
      <c r="AT5" s="53">
        <f t="shared" si="8"/>
        <v>0</v>
      </c>
      <c r="AU5" s="54">
        <f t="shared" si="8"/>
        <v>0</v>
      </c>
      <c r="AV5" s="55">
        <f t="shared" si="8"/>
        <v>0</v>
      </c>
      <c r="AW5" s="56" t="str">
        <f>IFERROR(AX5/AV5,"")</f>
        <v/>
      </c>
      <c r="AX5" s="57">
        <f>sum(AX4)</f>
        <v>0</v>
      </c>
      <c r="AY5" s="53">
        <f t="shared" ref="AY5:BF5" si="9">SUM(AY4)</f>
        <v>0</v>
      </c>
      <c r="AZ5" s="58">
        <f t="shared" si="9"/>
        <v>0</v>
      </c>
      <c r="BA5" s="59">
        <f t="shared" si="9"/>
        <v>0</v>
      </c>
      <c r="BB5" s="53">
        <f t="shared" si="9"/>
        <v>0</v>
      </c>
      <c r="BC5" s="58">
        <f t="shared" si="9"/>
        <v>0</v>
      </c>
      <c r="BD5" s="58">
        <f t="shared" si="9"/>
        <v>0</v>
      </c>
      <c r="BE5" s="59">
        <f t="shared" si="9"/>
        <v>0</v>
      </c>
      <c r="BF5" s="59">
        <f t="shared" si="9"/>
        <v>0</v>
      </c>
      <c r="BG5" s="28"/>
      <c r="BH5" s="53">
        <f t="shared" ref="BH5:BL5" si="10">SUM(BH4)</f>
        <v>0</v>
      </c>
      <c r="BI5" s="54">
        <f t="shared" si="10"/>
        <v>0</v>
      </c>
      <c r="BJ5" s="53">
        <f t="shared" si="10"/>
        <v>0</v>
      </c>
      <c r="BK5" s="54">
        <f t="shared" si="10"/>
        <v>0</v>
      </c>
      <c r="BL5" s="55">
        <f t="shared" si="10"/>
        <v>0</v>
      </c>
      <c r="BM5" s="56" t="str">
        <f>IFERROR(BN5/BL5,"")</f>
        <v/>
      </c>
      <c r="BN5" s="57">
        <f>sum(BN4)</f>
        <v>0</v>
      </c>
      <c r="BO5" s="53">
        <f t="shared" ref="BO5:BV5" si="11">SUM(BO4)</f>
        <v>0</v>
      </c>
      <c r="BP5" s="58">
        <f t="shared" si="11"/>
        <v>0</v>
      </c>
      <c r="BQ5" s="59">
        <f t="shared" si="11"/>
        <v>0</v>
      </c>
      <c r="BR5" s="53">
        <f t="shared" si="11"/>
        <v>0</v>
      </c>
      <c r="BS5" s="58">
        <f t="shared" si="11"/>
        <v>0</v>
      </c>
      <c r="BT5" s="58">
        <f t="shared" si="11"/>
        <v>0</v>
      </c>
      <c r="BU5" s="59">
        <f t="shared" si="11"/>
        <v>0</v>
      </c>
      <c r="BV5" s="59">
        <f t="shared" si="11"/>
        <v>0</v>
      </c>
      <c r="BW5" s="28"/>
      <c r="BX5" s="53">
        <f t="shared" ref="BX5:CB5" si="12">SUM(BX4)</f>
        <v>0</v>
      </c>
      <c r="BY5" s="54">
        <f t="shared" si="12"/>
        <v>0</v>
      </c>
      <c r="BZ5" s="53">
        <f t="shared" si="12"/>
        <v>0</v>
      </c>
      <c r="CA5" s="54">
        <f t="shared" si="12"/>
        <v>0</v>
      </c>
      <c r="CB5" s="55">
        <f t="shared" si="12"/>
        <v>0</v>
      </c>
      <c r="CC5" s="56" t="str">
        <f>IFERROR(CD5/CB5,"")</f>
        <v/>
      </c>
      <c r="CD5" s="57">
        <f>sum(CD4)</f>
        <v>0</v>
      </c>
      <c r="CE5" s="53">
        <f t="shared" ref="CE5:CI5" si="13">SUM(CE4)</f>
        <v>0</v>
      </c>
      <c r="CF5" s="58">
        <f t="shared" si="13"/>
        <v>0</v>
      </c>
      <c r="CG5" s="59">
        <f t="shared" si="13"/>
        <v>0</v>
      </c>
      <c r="CH5" s="60">
        <f t="shared" si="13"/>
        <v>0</v>
      </c>
      <c r="CI5" s="60">
        <f t="shared" si="13"/>
        <v>0</v>
      </c>
      <c r="CJ5" s="61"/>
      <c r="CK5" s="53">
        <f t="shared" ref="CK5:CO5" si="14">SUM(CK4)</f>
        <v>0</v>
      </c>
      <c r="CL5" s="58">
        <f t="shared" si="14"/>
        <v>0</v>
      </c>
      <c r="CM5" s="59">
        <f t="shared" si="14"/>
        <v>0</v>
      </c>
      <c r="CN5" s="62">
        <f t="shared" si="14"/>
        <v>0</v>
      </c>
      <c r="CO5" s="63">
        <f t="shared" si="14"/>
        <v>0</v>
      </c>
      <c r="CP5" s="64">
        <f>SUM(CN5:CO5)</f>
        <v>0</v>
      </c>
    </row>
    <row r="6" ht="34.5" customHeight="1">
      <c r="A6" s="65"/>
      <c r="B6" s="65"/>
      <c r="E6" s="66"/>
      <c r="F6" s="66"/>
      <c r="G6" s="66"/>
      <c r="H6" s="66"/>
      <c r="J6" s="66"/>
      <c r="K6" s="66"/>
      <c r="L6" s="66"/>
      <c r="M6" s="66"/>
      <c r="N6" s="66"/>
      <c r="O6" s="66"/>
      <c r="P6" s="66"/>
      <c r="Q6" s="66"/>
      <c r="R6" s="66" t="s">
        <v>34</v>
      </c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6"/>
      <c r="BF6" s="66"/>
      <c r="BG6" s="66"/>
      <c r="BH6" s="66"/>
      <c r="BI6" s="66"/>
      <c r="BJ6" s="66"/>
      <c r="BK6" s="66"/>
      <c r="BL6" s="66"/>
      <c r="BM6" s="66"/>
      <c r="BN6" s="66"/>
      <c r="BO6" s="66"/>
      <c r="BP6" s="66"/>
      <c r="BQ6" s="66"/>
      <c r="BR6" s="66"/>
      <c r="BS6" s="66"/>
      <c r="BT6" s="66"/>
      <c r="BU6" s="66"/>
      <c r="BV6" s="66"/>
      <c r="BW6" s="66"/>
      <c r="BX6" s="66"/>
      <c r="BY6" s="66"/>
      <c r="BZ6" s="66"/>
      <c r="CA6" s="66"/>
      <c r="CB6" s="66"/>
      <c r="CC6" s="66"/>
      <c r="CD6" s="66"/>
      <c r="CE6" s="66"/>
      <c r="CF6" s="66"/>
      <c r="CG6" s="66"/>
      <c r="CH6" s="66"/>
      <c r="CI6" s="66"/>
      <c r="CJ6" s="66"/>
      <c r="CK6" s="66"/>
      <c r="CL6" s="66"/>
      <c r="CM6" s="66"/>
      <c r="CN6" s="66"/>
      <c r="CO6" s="66"/>
      <c r="CP6" s="66"/>
    </row>
    <row r="7" ht="32.25" customHeight="1">
      <c r="A7" s="67"/>
      <c r="C7" s="67"/>
      <c r="D7" s="67"/>
      <c r="E7" s="67"/>
      <c r="F7" s="67"/>
      <c r="G7" s="67"/>
      <c r="H7" s="67"/>
      <c r="J7" s="67"/>
      <c r="K7" s="67"/>
      <c r="L7" s="67"/>
      <c r="M7" s="67"/>
      <c r="N7" s="67"/>
      <c r="O7" s="67"/>
      <c r="P7" s="67"/>
      <c r="Q7" s="67"/>
      <c r="R7" s="67" t="s">
        <v>35</v>
      </c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7"/>
      <c r="CH7" s="67"/>
      <c r="CI7" s="67"/>
      <c r="CJ7" s="67"/>
      <c r="CK7" s="67"/>
      <c r="CL7" s="67"/>
      <c r="CM7" s="67"/>
      <c r="CN7" s="67"/>
      <c r="CO7" s="67"/>
      <c r="CP7" s="67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E1:P1"/>
    <mergeCell ref="R1:AC1"/>
    <mergeCell ref="AE1:AP1"/>
    <mergeCell ref="AR1:BF1"/>
    <mergeCell ref="BH1:BV1"/>
    <mergeCell ref="BX1:CI1"/>
    <mergeCell ref="CK1:CP1"/>
    <mergeCell ref="E2:K2"/>
    <mergeCell ref="L2:N2"/>
    <mergeCell ref="O2:P2"/>
    <mergeCell ref="R2:X2"/>
    <mergeCell ref="Y2:AA2"/>
    <mergeCell ref="AB2:AC2"/>
    <mergeCell ref="AE2:AK2"/>
    <mergeCell ref="BR2:BV2"/>
    <mergeCell ref="BX2:CD2"/>
    <mergeCell ref="CE2:CG2"/>
    <mergeCell ref="CH2:CI2"/>
    <mergeCell ref="CK2:CM2"/>
    <mergeCell ref="CN2:CP2"/>
    <mergeCell ref="AL2:AN2"/>
    <mergeCell ref="AO2:AP2"/>
    <mergeCell ref="AR2:AX2"/>
    <mergeCell ref="AY2:BA2"/>
    <mergeCell ref="BB2:BF2"/>
    <mergeCell ref="BH2:BN2"/>
    <mergeCell ref="BO2:BQ2"/>
  </mergeCells>
  <conditionalFormatting sqref="CC4">
    <cfRule type="colorScale" priority="1">
      <colorScale>
        <cfvo type="formula" val="0"/>
        <cfvo type="formula" val="6"/>
        <cfvo type="max"/>
        <color rgb="FFE67C73"/>
        <color rgb="FFB6D7A8"/>
        <color rgb="FF57BB8A"/>
      </colorScale>
    </cfRule>
  </conditionalFormatting>
  <printOptions/>
  <pageMargins bottom="0.75" footer="0.0" header="0.0" left="0.25" right="0.25" top="0.75"/>
  <pageSetup orientation="landscape"/>
  <drawing r:id="rId1"/>
</worksheet>
</file>